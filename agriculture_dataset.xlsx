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9_{1989879B-4F6A-4DCC-868D-F839B95BC7D7}" xr6:coauthVersionLast="47" xr6:coauthVersionMax="47" xr10:uidLastSave="{00000000-0000-0000-0000-000000000000}"/>
  <bookViews>
    <workbookView xWindow="-108" yWindow="-108" windowWidth="23256" windowHeight="12456" activeTab="3" xr2:uid="{75713B1D-07BB-4BD8-8DDB-886B730D21D4}"/>
  </bookViews>
  <sheets>
    <sheet name="agriculture_dataset" sheetId="1" r:id="rId1"/>
    <sheet name="agriculture_dataset (2)" sheetId="4" r:id="rId2"/>
    <sheet name="Pivot Table" sheetId="3" r:id="rId3"/>
    <sheet name="DASHBOARD" sheetId="9" r:id="rId4"/>
  </sheets>
  <definedNames>
    <definedName name="Slicer_Crop_Type">#N/A</definedName>
    <definedName name="Slicer_Irrigation_Type">#N/A</definedName>
    <definedName name="Slicer_Season">#N/A</definedName>
    <definedName name="Slicer_Soil_Type">#N/A</definedName>
  </definedNames>
  <calcPr calcId="0"/>
  <pivotCaches>
    <pivotCache cacheId="14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<sst xmlns="http://schemas.openxmlformats.org/spreadsheetml/2006/main" count="557" uniqueCount="96">
  <si>
    <t>Farm_ID</t>
  </si>
  <si>
    <t>Crop_Type</t>
  </si>
  <si>
    <t>Farm_Area(acres)</t>
  </si>
  <si>
    <t>Irrigation_Type</t>
  </si>
  <si>
    <t>Fertilizer_Used(tons)</t>
  </si>
  <si>
    <t>Pesticide_Used(kg)</t>
  </si>
  <si>
    <t>Yield(tons)</t>
  </si>
  <si>
    <t>Soil_Type</t>
  </si>
  <si>
    <t>Season</t>
  </si>
  <si>
    <t>Water_Usage(cubic meters)</t>
  </si>
  <si>
    <t>F001</t>
  </si>
  <si>
    <t>Cotton</t>
  </si>
  <si>
    <t>Sprinkler</t>
  </si>
  <si>
    <t>Loamy</t>
  </si>
  <si>
    <t>Kharif</t>
  </si>
  <si>
    <t>F002</t>
  </si>
  <si>
    <t>Carrot</t>
  </si>
  <si>
    <t>Manual</t>
  </si>
  <si>
    <t>Peaty</t>
  </si>
  <si>
    <t>F003</t>
  </si>
  <si>
    <t>Sugarcane</t>
  </si>
  <si>
    <t>Flood</t>
  </si>
  <si>
    <t>Silty</t>
  </si>
  <si>
    <t>F004</t>
  </si>
  <si>
    <t>Tomato</t>
  </si>
  <si>
    <t>Rain-fed</t>
  </si>
  <si>
    <t>Zaid</t>
  </si>
  <si>
    <t>F005</t>
  </si>
  <si>
    <t>Clay</t>
  </si>
  <si>
    <t>F006</t>
  </si>
  <si>
    <t>F007</t>
  </si>
  <si>
    <t>Soybean</t>
  </si>
  <si>
    <t>Drip</t>
  </si>
  <si>
    <t>Sandy</t>
  </si>
  <si>
    <t>Rabi</t>
  </si>
  <si>
    <t>F008</t>
  </si>
  <si>
    <t>Rice</t>
  </si>
  <si>
    <t>F009</t>
  </si>
  <si>
    <t>Maize</t>
  </si>
  <si>
    <t>F010</t>
  </si>
  <si>
    <t>F011</t>
  </si>
  <si>
    <t>F012</t>
  </si>
  <si>
    <t>F013</t>
  </si>
  <si>
    <t>Wheat</t>
  </si>
  <si>
    <t>F014</t>
  </si>
  <si>
    <t>F015</t>
  </si>
  <si>
    <t>F016</t>
  </si>
  <si>
    <t>Barley</t>
  </si>
  <si>
    <t>F017</t>
  </si>
  <si>
    <t>F018</t>
  </si>
  <si>
    <t>F019</t>
  </si>
  <si>
    <t>F020</t>
  </si>
  <si>
    <t>F021</t>
  </si>
  <si>
    <t>F022</t>
  </si>
  <si>
    <t>F023</t>
  </si>
  <si>
    <t>Potato</t>
  </si>
  <si>
    <t>F024</t>
  </si>
  <si>
    <t>F025</t>
  </si>
  <si>
    <t>F026</t>
  </si>
  <si>
    <t>F027</t>
  </si>
  <si>
    <t>F028</t>
  </si>
  <si>
    <t>F029</t>
  </si>
  <si>
    <t>F030</t>
  </si>
  <si>
    <t>F031</t>
  </si>
  <si>
    <t>F032</t>
  </si>
  <si>
    <t>F033</t>
  </si>
  <si>
    <t>F034</t>
  </si>
  <si>
    <t>F035</t>
  </si>
  <si>
    <t>F036</t>
  </si>
  <si>
    <t>F037</t>
  </si>
  <si>
    <t>F038</t>
  </si>
  <si>
    <t>F039</t>
  </si>
  <si>
    <t>F040</t>
  </si>
  <si>
    <t>F041</t>
  </si>
  <si>
    <t>F042</t>
  </si>
  <si>
    <t>F043</t>
  </si>
  <si>
    <t>F044</t>
  </si>
  <si>
    <t>F045</t>
  </si>
  <si>
    <t>F046</t>
  </si>
  <si>
    <t>F047</t>
  </si>
  <si>
    <t>F048</t>
  </si>
  <si>
    <t>F049</t>
  </si>
  <si>
    <t>F050</t>
  </si>
  <si>
    <t>WATER USAGE BY SOIL TYPE</t>
  </si>
  <si>
    <t>Grand Total</t>
  </si>
  <si>
    <t>Sum of Water_Usage(cubic meters)</t>
  </si>
  <si>
    <t>Row Labels</t>
  </si>
  <si>
    <t>WATER USAGE BY CROP TYPE</t>
  </si>
  <si>
    <t>WATER USAGE BY SEASON</t>
  </si>
  <si>
    <t>YIELD TONS</t>
  </si>
  <si>
    <t>Sum of Yield(tons)</t>
  </si>
  <si>
    <t>WATER USAGE</t>
  </si>
  <si>
    <t>FARM AREA</t>
  </si>
  <si>
    <t>Sum of Farm_Area(acres)</t>
  </si>
  <si>
    <t>PESTICIDE</t>
  </si>
  <si>
    <t>Sum of Pesticide_Used(kg)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</si>
</sst>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00,,"/>
    <numFmt numFmtId="169" formatCode="0.00,,"/>
    <numFmt numFmtId="171" formatCode="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NumberFormat="1"/>
    <xf numFmtId="0" fontId="0" fillId="0" borderId="0" xfId="0" applyAlignment="1">
      <alignment horizontal="left"/>
    </xf>
    <xf numFmtId="166" fontId="0" fillId="0" borderId="0" xfId="0" applyNumberFormat="1"/>
    <xf numFmtId="169" fontId="0" fillId="0" borderId="0" xfId="0" applyNumberFormat="1"/>
    <xf numFmtId="17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66" formatCode="#,##0.00,,"/>
    </dxf>
    <dxf>
      <numFmt numFmtId="171" formatCode="0.00,"/>
    </dxf>
    <dxf>
      <numFmt numFmtId="169" formatCode="0.00,,"/>
    </dxf>
    <dxf>
      <numFmt numFmtId="171" formatCode="0.00,"/>
    </dxf>
    <dxf>
      <numFmt numFmtId="166" formatCode="#,##0.00,,"/>
    </dxf>
    <dxf>
      <numFmt numFmtId="166"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[agriculture_dataset.xlsx]Pivot Table!PivotTable44</c:name>
    <c:fmtId val="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Table'!$B$5:$B$10</c:f>
              <c:strCache>
                <c:ptCount val="5"/>
                <c:pt idx="0">
                  <c:v>Peaty</c:v>
                </c:pt>
                <c:pt idx="1">
                  <c:v>Silty</c:v>
                </c:pt>
                <c:pt idx="2">
                  <c:v>Sandy</c:v>
                </c:pt>
                <c:pt idx="3">
                  <c:v>Loamy</c:v>
                </c:pt>
                <c:pt idx="4">
                  <c:v>Clay</c:v>
                </c:pt>
              </c:strCache>
            </c:strRef>
          </c:cat>
          <c:val>
            <c:numRef>
              <c:f>'Pivot Table'!$C$5:$C$10</c:f>
              <c:numCache>
                <c:formatCode>#,##0.00,,</c:formatCode>
                <c:ptCount val="5"/>
                <c:pt idx="0">
                  <c:v>200009.56</c:v>
                </c:pt>
                <c:pt idx="1">
                  <c:v>454483.47000000003</c:v>
                </c:pt>
                <c:pt idx="2">
                  <c:v>694962.93</c:v>
                </c:pt>
                <c:pt idx="3">
                  <c:v>730128.2100000002</c:v>
                </c:pt>
                <c:pt idx="4">
                  <c:v>756630.60999999987</c:v>
                </c:pt>
              </c:numCache>
            </c:numRef>
          </c:val>
          <c:extLst>
            <c:ext xmlns:c16="http://schemas.microsoft.com/office/drawing/2014/chart" uri="{C3380CC4-5D6E-409C-BE32-E72D297353CC}">
              <c16:uniqueId val="{00000000-7966-4FBF-9AA9-ACEA943E04CA}"/>
            </c:ext>
          </c:extLst>
        </c:ser>
        <c:dLbls>
          <c:dLblPos val="outEnd"/>
          <c:showLegendKey val="0"/>
          <c:showVal val="1"/>
          <c:showCatName val="0"/>
          <c:showSerName val="0"/>
          <c:showPercent val="0"/>
          <c:showBubbleSize val="0"/>
        </c:dLbls>
        <c:gapWidth val="182"/>
        <c:axId val="357775056"/>
        <c:axId val="357780816"/>
      </c:barChart>
      <c:catAx>
        <c:axId val="35777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80816"/>
        <c:crosses val="autoZero"/>
        <c:auto val="1"/>
        <c:lblAlgn val="ctr"/>
        <c:lblOffset val="100"/>
        <c:noMultiLvlLbl val="0"/>
      </c:catAx>
      <c:valAx>
        <c:axId val="357780816"/>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7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[agriculture_dataset.xlsx]Pivot Table!PivotTable46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Table'!$C$14</c:f>
              <c:strCache>
                <c:ptCount val="1"/>
                <c:pt idx="0">
                  <c:v>Total</c:v>
                </c:pt>
              </c:strCache>
            </c:strRef>
          </c:tx>
          <c:spPr>
            <a:solidFill>
              <a:schemeClr val="accent6">
                <a:lumMod val="75000"/>
              </a:schemeClr>
            </a:solidFill>
            <a:ln>
              <a:noFill/>
            </a:ln>
            <a:effectLst/>
          </c:spPr>
          <c:invertIfNegative val="0"/>
          <c:cat>
            <c:strRef>
              <c:f>'Pivot Table'!$B$15:$B$25</c:f>
              <c:strCache>
                <c:ptCount val="10"/>
                <c:pt idx="0">
                  <c:v>Tomato</c:v>
                </c:pt>
                <c:pt idx="1">
                  <c:v>Barley</c:v>
                </c:pt>
                <c:pt idx="2">
                  <c:v>Cotton</c:v>
                </c:pt>
                <c:pt idx="3">
                  <c:v>Carrot</c:v>
                </c:pt>
                <c:pt idx="4">
                  <c:v>Soybean</c:v>
                </c:pt>
                <c:pt idx="5">
                  <c:v>Sugarcane</c:v>
                </c:pt>
                <c:pt idx="6">
                  <c:v>Rice</c:v>
                </c:pt>
                <c:pt idx="7">
                  <c:v>Potato</c:v>
                </c:pt>
                <c:pt idx="8">
                  <c:v>Wheat</c:v>
                </c:pt>
                <c:pt idx="9">
                  <c:v>Maize</c:v>
                </c:pt>
              </c:strCache>
            </c:strRef>
          </c:cat>
          <c:val>
            <c:numRef>
              <c:f>'Pivot Table'!$C$15:$C$25</c:f>
              <c:numCache>
                <c:formatCode>#,##0.00,,</c:formatCode>
                <c:ptCount val="10"/>
                <c:pt idx="0">
                  <c:v>440876.16000000003</c:v>
                </c:pt>
                <c:pt idx="1">
                  <c:v>375162.41</c:v>
                </c:pt>
                <c:pt idx="2">
                  <c:v>370939.93</c:v>
                </c:pt>
                <c:pt idx="3">
                  <c:v>308573.96999999997</c:v>
                </c:pt>
                <c:pt idx="4">
                  <c:v>289376.88</c:v>
                </c:pt>
                <c:pt idx="5">
                  <c:v>278324.51</c:v>
                </c:pt>
                <c:pt idx="6">
                  <c:v>233807.05</c:v>
                </c:pt>
                <c:pt idx="7">
                  <c:v>228134.29</c:v>
                </c:pt>
                <c:pt idx="8">
                  <c:v>177843.13</c:v>
                </c:pt>
                <c:pt idx="9">
                  <c:v>133176.45000000001</c:v>
                </c:pt>
              </c:numCache>
            </c:numRef>
          </c:val>
          <c:extLst>
            <c:ext xmlns:c16="http://schemas.microsoft.com/office/drawing/2014/chart" uri="{C3380CC4-5D6E-409C-BE32-E72D297353CC}">
              <c16:uniqueId val="{00000000-D3C4-457C-A8FE-716499A3B75E}"/>
            </c:ext>
          </c:extLst>
        </c:ser>
        <c:dLbls>
          <c:showLegendKey val="0"/>
          <c:showVal val="0"/>
          <c:showCatName val="0"/>
          <c:showSerName val="0"/>
          <c:showPercent val="0"/>
          <c:showBubbleSize val="0"/>
        </c:dLbls>
        <c:gapWidth val="219"/>
        <c:overlap val="-27"/>
        <c:axId val="1811162623"/>
        <c:axId val="1811166463"/>
      </c:barChart>
      <c:catAx>
        <c:axId val="18111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66463"/>
        <c:crosses val="autoZero"/>
        <c:auto val="1"/>
        <c:lblAlgn val="ctr"/>
        <c:lblOffset val="100"/>
        <c:noMultiLvlLbl val="0"/>
      </c:catAx>
      <c:valAx>
        <c:axId val="1811166463"/>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6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[agriculture_dataset.xlsx]Pivot Table!PivotTable47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75000"/>
                  </a:schemeClr>
                </a:solidFill>
              </a:rPr>
              <a:t>Water Usage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Table'!$B$29:$B$31</c:f>
              <c:strCache>
                <c:ptCount val="2"/>
                <c:pt idx="0">
                  <c:v>Zaid</c:v>
                </c:pt>
                <c:pt idx="1">
                  <c:v>Kharif</c:v>
                </c:pt>
              </c:strCache>
            </c:strRef>
          </c:cat>
          <c:val>
            <c:numRef>
              <c:f>'Pivot Table'!$C$29:$C$31</c:f>
              <c:numCache>
                <c:formatCode>#,##0.00,,</c:formatCode>
                <c:ptCount val="2"/>
                <c:pt idx="0">
                  <c:v>192734.71000000002</c:v>
                </c:pt>
                <c:pt idx="1">
                  <c:v>182427.7</c:v>
                </c:pt>
              </c:numCache>
            </c:numRef>
          </c:val>
          <c:extLst>
            <c:ext xmlns:c16="http://schemas.microsoft.com/office/drawing/2014/chart" uri="{C3380CC4-5D6E-409C-BE32-E72D297353CC}">
              <c16:uniqueId val="{00000000-65F5-4832-9100-32EA64ECC25B}"/>
            </c:ext>
          </c:extLst>
        </c:ser>
        <c:dLbls>
          <c:dLblPos val="outEnd"/>
          <c:showLegendKey val="0"/>
          <c:showVal val="1"/>
          <c:showCatName val="0"/>
          <c:showSerName val="0"/>
          <c:showPercent val="0"/>
          <c:showBubbleSize val="0"/>
        </c:dLbls>
        <c:gapWidth val="219"/>
        <c:overlap val="-27"/>
        <c:axId val="533947455"/>
        <c:axId val="533963775"/>
      </c:barChart>
      <c:catAx>
        <c:axId val="53394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63775"/>
        <c:crosses val="autoZero"/>
        <c:auto val="1"/>
        <c:lblAlgn val="ctr"/>
        <c:lblOffset val="100"/>
        <c:noMultiLvlLbl val="0"/>
      </c:catAx>
      <c:valAx>
        <c:axId val="533963775"/>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4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784860</xdr:colOff>
      <xdr:row>17</xdr:row>
      <xdr:rowOff>38100</xdr:rowOff>
    </xdr:from>
    <xdr:to>
      <xdr:col>5</xdr:col>
      <xdr:colOff>982980</xdr:colOff>
      <xdr:row>30</xdr:row>
      <xdr:rowOff>127635</xdr:rowOff>
    </xdr:to>
    <mc:AlternateContent xmlns:mc="http://schemas.openxmlformats.org/markup-compatibility/2006">
      <mc:Choice xmlns:a14="http://schemas.microsoft.com/office/drawing/2010/main" Requires="a14">
        <xdr:graphicFrame macro="">
          <xdr:nvGraphicFramePr>
            <xdr:cNvPr id="18" name="Irrigation_Type">
              <a:extLst>
                <a:ext uri="{FF2B5EF4-FFF2-40B4-BE49-F238E27FC236}">
                  <a16:creationId xmlns:a16="http://schemas.microsoft.com/office/drawing/2014/main" id="{9043A1D8-E771-9AF8-68F1-402F827E7F33}"/>
                </a:ext>
              </a:extLst>
            </xdr:cNvPr>
            <xdr:cNvGraphicFramePr/>
          </xdr:nvGraphicFramePr>
          <xdr:xfrm>
            <a:off x="0" y="0"/>
            <a:ext cx="0" cy="0"/>
          </xdr:xfrm>
          <a:graphic>
            <a:graphicData uri="http://schemas.microsoft.com/office/drawing/2010/slicer">
              <sle:slicer xmlns:sle="http://schemas.microsoft.com/office/drawing/2010/slicer" name="Irrigation_Type"/>
            </a:graphicData>
          </a:graphic>
        </xdr:graphicFrame>
      </mc:Choice>
      <mc:Fallback>
        <xdr:sp macro="" textlink="">
          <xdr:nvSpPr>
            <xdr:cNvPr id="0" name=""/>
            <xdr:cNvSpPr>
              <a:spLocks noTextEdit="1"/>
            </xdr:cNvSpPr>
          </xdr:nvSpPr>
          <xdr:spPr>
            <a:xfrm>
              <a:off x="4945380" y="3147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22860</xdr:rowOff>
    </xdr:from>
    <xdr:to>
      <xdr:col>21</xdr:col>
      <xdr:colOff>586740</xdr:colOff>
      <xdr:row>34</xdr:row>
      <xdr:rowOff>114300</xdr:rowOff>
    </xdr:to>
    <xdr:sp macro="" textlink="">
      <xdr:nvSpPr>
        <xdr:cNvPr id="5" name="Rectangle 4">
          <a:extLst>
            <a:ext uri="{FF2B5EF4-FFF2-40B4-BE49-F238E27FC236}">
              <a16:creationId xmlns:a16="http://schemas.microsoft.com/office/drawing/2014/main" id="{75EEEFBC-5857-17FE-27FF-69454614C822}"/>
            </a:ext>
          </a:extLst>
        </xdr:cNvPr>
        <xdr:cNvSpPr/>
      </xdr:nvSpPr>
      <xdr:spPr>
        <a:xfrm>
          <a:off x="0" y="22860"/>
          <a:ext cx="13388340" cy="63093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SOLAKIN FARM REPORT</a:t>
          </a:r>
          <a:r>
            <a:rPr lang="en-US" sz="28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FOR THE YEAR 2024_2025</a:t>
          </a:r>
          <a:endParaRPr lang="en-US" sz="2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83820</xdr:colOff>
      <xdr:row>3</xdr:row>
      <xdr:rowOff>68580</xdr:rowOff>
    </xdr:from>
    <xdr:to>
      <xdr:col>8</xdr:col>
      <xdr:colOff>30480</xdr:colOff>
      <xdr:row>8</xdr:row>
      <xdr:rowOff>144780</xdr:rowOff>
    </xdr:to>
    <xdr:sp macro="" textlink="">
      <xdr:nvSpPr>
        <xdr:cNvPr id="9" name="Rectangle 8">
          <a:extLst>
            <a:ext uri="{FF2B5EF4-FFF2-40B4-BE49-F238E27FC236}">
              <a16:creationId xmlns:a16="http://schemas.microsoft.com/office/drawing/2014/main" id="{D7042E12-F4DD-F802-C4FA-92DD318347A3}"/>
            </a:ext>
          </a:extLst>
        </xdr:cNvPr>
        <xdr:cNvSpPr/>
      </xdr:nvSpPr>
      <xdr:spPr>
        <a:xfrm>
          <a:off x="2522220" y="617220"/>
          <a:ext cx="2385060" cy="990600"/>
        </a:xfrm>
        <a:prstGeom prst="rect">
          <a:avLst/>
        </a:prstGeom>
        <a:solidFill>
          <a:schemeClr val="lt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3600" b="1" cap="none" spc="0">
              <a:ln w="0"/>
              <a:solidFill>
                <a:schemeClr val="accent6">
                  <a:lumMod val="75000"/>
                </a:schemeClr>
              </a:solidFill>
              <a:effectLst>
                <a:outerShdw blurRad="38100" dist="19050" dir="2700000" algn="tl" rotWithShape="0">
                  <a:schemeClr val="dk1">
                    <a:alpha val="40000"/>
                  </a:schemeClr>
                </a:outerShdw>
              </a:effectLst>
            </a:rPr>
            <a:t>1.35K </a:t>
          </a:r>
        </a:p>
        <a:p>
          <a:pPr algn="ctr"/>
          <a:r>
            <a:rPr lang="en-US" sz="1600" b="1" cap="none" spc="0">
              <a:ln w="0"/>
              <a:solidFill>
                <a:schemeClr val="accent6">
                  <a:lumMod val="75000"/>
                </a:schemeClr>
              </a:solidFill>
              <a:effectLst>
                <a:outerShdw blurRad="38100" dist="19050" dir="2700000" algn="tl" rotWithShape="0">
                  <a:schemeClr val="dk1">
                    <a:alpha val="40000"/>
                  </a:schemeClr>
                </a:outerShdw>
              </a:effectLst>
            </a:rPr>
            <a:t>Yield (tons)</a:t>
          </a:r>
        </a:p>
      </xdr:txBody>
    </xdr:sp>
    <xdr:clientData/>
  </xdr:twoCellAnchor>
  <xdr:twoCellAnchor>
    <xdr:from>
      <xdr:col>8</xdr:col>
      <xdr:colOff>152400</xdr:colOff>
      <xdr:row>3</xdr:row>
      <xdr:rowOff>76200</xdr:rowOff>
    </xdr:from>
    <xdr:to>
      <xdr:col>12</xdr:col>
      <xdr:colOff>99060</xdr:colOff>
      <xdr:row>8</xdr:row>
      <xdr:rowOff>152400</xdr:rowOff>
    </xdr:to>
    <xdr:sp macro="" textlink="">
      <xdr:nvSpPr>
        <xdr:cNvPr id="10" name="Rectangle 9">
          <a:extLst>
            <a:ext uri="{FF2B5EF4-FFF2-40B4-BE49-F238E27FC236}">
              <a16:creationId xmlns:a16="http://schemas.microsoft.com/office/drawing/2014/main" id="{0F483298-DC68-4B86-91C6-BBABBD6CCFE0}"/>
            </a:ext>
          </a:extLst>
        </xdr:cNvPr>
        <xdr:cNvSpPr/>
      </xdr:nvSpPr>
      <xdr:spPr>
        <a:xfrm>
          <a:off x="5029200" y="624840"/>
          <a:ext cx="2385060" cy="9906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3600" b="1" cap="none" spc="0">
              <a:ln w="0"/>
              <a:solidFill>
                <a:schemeClr val="accent6">
                  <a:lumMod val="75000"/>
                </a:schemeClr>
              </a:solidFill>
              <a:effectLst>
                <a:outerShdw blurRad="38100" dist="19050" dir="2700000" algn="tl" rotWithShape="0">
                  <a:schemeClr val="dk1">
                    <a:alpha val="40000"/>
                  </a:schemeClr>
                </a:outerShdw>
              </a:effectLst>
              <a:latin typeface="+mn-lt"/>
            </a:rPr>
            <a:t>     2.84M</a:t>
          </a:r>
          <a:r>
            <a:rPr lang="en-US" sz="3600" b="1" cap="none" spc="0" baseline="0">
              <a:ln w="0"/>
              <a:solidFill>
                <a:schemeClr val="accent6">
                  <a:lumMod val="75000"/>
                </a:schemeClr>
              </a:solidFill>
              <a:effectLst>
                <a:outerShdw blurRad="38100" dist="19050" dir="2700000" algn="tl" rotWithShape="0">
                  <a:schemeClr val="dk1">
                    <a:alpha val="40000"/>
                  </a:schemeClr>
                </a:outerShdw>
              </a:effectLst>
              <a:latin typeface="+mn-lt"/>
            </a:rPr>
            <a:t> </a:t>
          </a:r>
        </a:p>
        <a:p>
          <a:pPr algn="l"/>
          <a:r>
            <a:rPr lang="en-US" sz="1200" b="1" cap="none" spc="0" baseline="0">
              <a:ln w="0"/>
              <a:solidFill>
                <a:schemeClr val="accent6">
                  <a:lumMod val="75000"/>
                </a:schemeClr>
              </a:solidFill>
              <a:effectLst>
                <a:outerShdw blurRad="38100" dist="19050" dir="2700000" algn="tl" rotWithShape="0">
                  <a:schemeClr val="dk1">
                    <a:alpha val="40000"/>
                  </a:schemeClr>
                </a:outerShdw>
              </a:effectLst>
              <a:latin typeface="+mn-lt"/>
            </a:rPr>
            <a:t>        Water Usage  (Cubic Meters)</a:t>
          </a:r>
          <a:endParaRPr lang="en-US" sz="1200" b="1" cap="none" spc="0">
            <a:ln w="0"/>
            <a:solidFill>
              <a:schemeClr val="accent6">
                <a:lumMod val="75000"/>
              </a:schemeClr>
            </a:solidFill>
            <a:effectLst>
              <a:outerShdw blurRad="38100" dist="19050" dir="2700000" algn="tl" rotWithShape="0">
                <a:schemeClr val="dk1">
                  <a:alpha val="40000"/>
                </a:schemeClr>
              </a:outerShdw>
            </a:effectLst>
            <a:latin typeface="+mn-lt"/>
          </a:endParaRPr>
        </a:p>
      </xdr:txBody>
    </xdr:sp>
    <xdr:clientData/>
  </xdr:twoCellAnchor>
  <xdr:twoCellAnchor>
    <xdr:from>
      <xdr:col>12</xdr:col>
      <xdr:colOff>182880</xdr:colOff>
      <xdr:row>3</xdr:row>
      <xdr:rowOff>83820</xdr:rowOff>
    </xdr:from>
    <xdr:to>
      <xdr:col>16</xdr:col>
      <xdr:colOff>129540</xdr:colOff>
      <xdr:row>8</xdr:row>
      <xdr:rowOff>160020</xdr:rowOff>
    </xdr:to>
    <xdr:sp macro="" textlink="">
      <xdr:nvSpPr>
        <xdr:cNvPr id="11" name="Rectangle 10">
          <a:extLst>
            <a:ext uri="{FF2B5EF4-FFF2-40B4-BE49-F238E27FC236}">
              <a16:creationId xmlns:a16="http://schemas.microsoft.com/office/drawing/2014/main" id="{48E48F1A-C025-4FF1-BFA3-3E15C28FC83B}"/>
            </a:ext>
          </a:extLst>
        </xdr:cNvPr>
        <xdr:cNvSpPr/>
      </xdr:nvSpPr>
      <xdr:spPr>
        <a:xfrm>
          <a:off x="7498080" y="632460"/>
          <a:ext cx="2385060" cy="990600"/>
        </a:xfrm>
        <a:prstGeom prst="rect">
          <a:avLst/>
        </a:prstGeom>
        <a:ln>
          <a:solidFill>
            <a:schemeClr val="accent1">
              <a:shade val="1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cap="none" spc="0">
              <a:ln w="0"/>
              <a:solidFill>
                <a:schemeClr val="accent6">
                  <a:lumMod val="75000"/>
                </a:schemeClr>
              </a:solidFill>
              <a:effectLst>
                <a:outerShdw blurRad="38100" dist="19050" dir="2700000" algn="tl" rotWithShape="0">
                  <a:schemeClr val="dk1">
                    <a:alpha val="40000"/>
                  </a:schemeClr>
                </a:outerShdw>
              </a:effectLst>
              <a:latin typeface="+mn-lt"/>
            </a:rPr>
            <a:t>119.90</a:t>
          </a:r>
        </a:p>
        <a:p>
          <a:pPr algn="ctr"/>
          <a:r>
            <a:rPr lang="en-US" sz="1200" b="1" cap="none" spc="0">
              <a:ln w="0"/>
              <a:solidFill>
                <a:schemeClr val="accent6">
                  <a:lumMod val="75000"/>
                </a:schemeClr>
              </a:solidFill>
              <a:effectLst>
                <a:outerShdw blurRad="38100" dist="19050" dir="2700000" algn="tl" rotWithShape="0">
                  <a:schemeClr val="dk1">
                    <a:alpha val="40000"/>
                  </a:schemeClr>
                </a:outerShdw>
              </a:effectLst>
              <a:latin typeface="+mn-lt"/>
            </a:rPr>
            <a:t>Pesticide_used(kg)</a:t>
          </a:r>
        </a:p>
      </xdr:txBody>
    </xdr:sp>
    <xdr:clientData/>
  </xdr:twoCellAnchor>
  <xdr:twoCellAnchor>
    <xdr:from>
      <xdr:col>16</xdr:col>
      <xdr:colOff>220980</xdr:colOff>
      <xdr:row>3</xdr:row>
      <xdr:rowOff>83820</xdr:rowOff>
    </xdr:from>
    <xdr:to>
      <xdr:col>20</xdr:col>
      <xdr:colOff>167640</xdr:colOff>
      <xdr:row>8</xdr:row>
      <xdr:rowOff>160020</xdr:rowOff>
    </xdr:to>
    <xdr:sp macro="" textlink="">
      <xdr:nvSpPr>
        <xdr:cNvPr id="12" name="Rectangle 11">
          <a:extLst>
            <a:ext uri="{FF2B5EF4-FFF2-40B4-BE49-F238E27FC236}">
              <a16:creationId xmlns:a16="http://schemas.microsoft.com/office/drawing/2014/main" id="{565B587F-0303-482D-8C43-06F02341A55D}"/>
            </a:ext>
          </a:extLst>
        </xdr:cNvPr>
        <xdr:cNvSpPr/>
      </xdr:nvSpPr>
      <xdr:spPr>
        <a:xfrm>
          <a:off x="9974580" y="632460"/>
          <a:ext cx="2385060" cy="9906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3600" b="1" cap="none" spc="0">
              <a:ln w="0"/>
              <a:solidFill>
                <a:schemeClr val="accent6">
                  <a:lumMod val="75000"/>
                </a:schemeClr>
              </a:solidFill>
              <a:effectLst>
                <a:outerShdw blurRad="38100" dist="19050" dir="2700000" algn="tl" rotWithShape="0">
                  <a:schemeClr val="dk1">
                    <a:alpha val="40000"/>
                  </a:schemeClr>
                </a:outerShdw>
              </a:effectLst>
            </a:rPr>
            <a:t>12.75k</a:t>
          </a:r>
        </a:p>
        <a:p>
          <a:pPr algn="ctr"/>
          <a:r>
            <a:rPr lang="en-US" sz="1100" b="1" cap="none" spc="0">
              <a:ln w="0"/>
              <a:solidFill>
                <a:schemeClr val="accent6">
                  <a:lumMod val="75000"/>
                </a:schemeClr>
              </a:solidFill>
              <a:effectLst>
                <a:outerShdw blurRad="38100" dist="19050" dir="2700000" algn="tl" rotWithShape="0">
                  <a:schemeClr val="dk1">
                    <a:alpha val="40000"/>
                  </a:schemeClr>
                </a:outerShdw>
              </a:effectLst>
            </a:rPr>
            <a:t>Farm</a:t>
          </a:r>
          <a:r>
            <a:rPr lang="en-US" sz="1100" b="1" cap="none" spc="0" baseline="0">
              <a:ln w="0"/>
              <a:solidFill>
                <a:schemeClr val="accent6">
                  <a:lumMod val="75000"/>
                </a:schemeClr>
              </a:solidFill>
              <a:effectLst>
                <a:outerShdw blurRad="38100" dist="19050" dir="2700000" algn="tl" rotWithShape="0">
                  <a:schemeClr val="dk1">
                    <a:alpha val="40000"/>
                  </a:schemeClr>
                </a:outerShdw>
              </a:effectLst>
            </a:rPr>
            <a:t>_Area(acres)</a:t>
          </a:r>
          <a:endParaRPr lang="en-US" sz="1100" b="1" cap="none" spc="0">
            <a:ln w="0"/>
            <a:solidFill>
              <a:schemeClr val="accent6">
                <a:lumMod val="75000"/>
              </a:schemeClr>
            </a:solidFill>
            <a:effectLst>
              <a:outerShdw blurRad="38100" dist="19050" dir="2700000" algn="tl" rotWithShape="0">
                <a:schemeClr val="dk1">
                  <a:alpha val="40000"/>
                </a:schemeClr>
              </a:outerShdw>
            </a:effectLst>
          </a:endParaRPr>
        </a:p>
      </xdr:txBody>
    </xdr:sp>
    <xdr:clientData/>
  </xdr:twoCellAnchor>
  <xdr:twoCellAnchor>
    <xdr:from>
      <xdr:col>4</xdr:col>
      <xdr:colOff>38100</xdr:colOff>
      <xdr:row>9</xdr:row>
      <xdr:rowOff>83820</xdr:rowOff>
    </xdr:from>
    <xdr:to>
      <xdr:col>7</xdr:col>
      <xdr:colOff>594360</xdr:colOff>
      <xdr:row>33</xdr:row>
      <xdr:rowOff>53340</xdr:rowOff>
    </xdr:to>
    <xdr:sp macro="" textlink="">
      <xdr:nvSpPr>
        <xdr:cNvPr id="13" name="Rectangle 12">
          <a:extLst>
            <a:ext uri="{FF2B5EF4-FFF2-40B4-BE49-F238E27FC236}">
              <a16:creationId xmlns:a16="http://schemas.microsoft.com/office/drawing/2014/main" id="{3F719C53-80B5-46BE-AC2A-753F077D8573}"/>
            </a:ext>
          </a:extLst>
        </xdr:cNvPr>
        <xdr:cNvSpPr/>
      </xdr:nvSpPr>
      <xdr:spPr>
        <a:xfrm>
          <a:off x="2476500" y="1729740"/>
          <a:ext cx="2385060" cy="435864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cap="none" spc="0">
              <a:ln w="0"/>
              <a:solidFill>
                <a:schemeClr val="accent6">
                  <a:lumMod val="50000"/>
                </a:schemeClr>
              </a:solidFill>
              <a:effectLst>
                <a:outerShdw blurRad="38100" dist="19050" dir="2700000" algn="tl" rotWithShape="0">
                  <a:schemeClr val="dk1">
                    <a:alpha val="40000"/>
                  </a:schemeClr>
                </a:outerShdw>
              </a:effectLst>
            </a:rPr>
            <a:t>Water</a:t>
          </a:r>
          <a:r>
            <a:rPr lang="en-US" sz="1200" b="1" cap="none" spc="0" baseline="0">
              <a:ln w="0"/>
              <a:solidFill>
                <a:schemeClr val="accent6">
                  <a:lumMod val="50000"/>
                </a:schemeClr>
              </a:solidFill>
              <a:effectLst>
                <a:outerShdw blurRad="38100" dist="19050" dir="2700000" algn="tl" rotWithShape="0">
                  <a:schemeClr val="dk1">
                    <a:alpha val="40000"/>
                  </a:schemeClr>
                </a:outerShdw>
              </a:effectLst>
            </a:rPr>
            <a:t> Usage</a:t>
          </a:r>
          <a:endParaRPr lang="en-US" sz="1200" b="1" cap="none" spc="0">
            <a:ln w="0"/>
            <a:solidFill>
              <a:schemeClr val="accent6">
                <a:lumMod val="50000"/>
              </a:schemeClr>
            </a:solidFill>
            <a:effectLst>
              <a:outerShdw blurRad="38100" dist="19050" dir="2700000" algn="tl" rotWithShape="0">
                <a:schemeClr val="dk1">
                  <a:alpha val="40000"/>
                </a:schemeClr>
              </a:outerShdw>
            </a:effectLst>
          </a:endParaRPr>
        </a:p>
      </xdr:txBody>
    </xdr:sp>
    <xdr:clientData/>
  </xdr:twoCellAnchor>
  <xdr:twoCellAnchor>
    <xdr:from>
      <xdr:col>8</xdr:col>
      <xdr:colOff>121920</xdr:colOff>
      <xdr:row>9</xdr:row>
      <xdr:rowOff>68580</xdr:rowOff>
    </xdr:from>
    <xdr:to>
      <xdr:col>20</xdr:col>
      <xdr:colOff>259080</xdr:colOff>
      <xdr:row>20</xdr:row>
      <xdr:rowOff>137160</xdr:rowOff>
    </xdr:to>
    <xdr:sp macro="" textlink="">
      <xdr:nvSpPr>
        <xdr:cNvPr id="14" name="Rectangle 13">
          <a:extLst>
            <a:ext uri="{FF2B5EF4-FFF2-40B4-BE49-F238E27FC236}">
              <a16:creationId xmlns:a16="http://schemas.microsoft.com/office/drawing/2014/main" id="{60446844-9F74-4860-9224-C54689968244}"/>
            </a:ext>
          </a:extLst>
        </xdr:cNvPr>
        <xdr:cNvSpPr/>
      </xdr:nvSpPr>
      <xdr:spPr>
        <a:xfrm>
          <a:off x="4998720" y="1714500"/>
          <a:ext cx="7452360" cy="208026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0" cap="none" spc="0">
              <a:ln w="0"/>
              <a:solidFill>
                <a:schemeClr val="accent6">
                  <a:lumMod val="50000"/>
                </a:schemeClr>
              </a:solidFill>
              <a:effectLst>
                <a:outerShdw blurRad="38100" dist="19050" dir="2700000" algn="tl" rotWithShape="0">
                  <a:schemeClr val="dk1">
                    <a:alpha val="40000"/>
                  </a:schemeClr>
                </a:outerShdw>
              </a:effectLst>
            </a:rPr>
            <a:t>Water</a:t>
          </a:r>
          <a:r>
            <a:rPr lang="en-US" sz="1800" b="0" cap="none" spc="0" baseline="0">
              <a:ln w="0"/>
              <a:solidFill>
                <a:schemeClr val="accent6">
                  <a:lumMod val="50000"/>
                </a:schemeClr>
              </a:solidFill>
              <a:effectLst>
                <a:outerShdw blurRad="38100" dist="19050" dir="2700000" algn="tl" rotWithShape="0">
                  <a:schemeClr val="dk1">
                    <a:alpha val="40000"/>
                  </a:schemeClr>
                </a:outerShdw>
              </a:effectLst>
            </a:rPr>
            <a:t> Usage By Crop Type</a:t>
          </a:r>
          <a:endParaRPr lang="en-US" sz="1800" b="0" cap="none" spc="0">
            <a:ln w="0"/>
            <a:solidFill>
              <a:schemeClr val="accent6">
                <a:lumMod val="50000"/>
              </a:schemeClr>
            </a:solidFill>
            <a:effectLst>
              <a:outerShdw blurRad="38100" dist="19050" dir="2700000" algn="tl" rotWithShape="0">
                <a:schemeClr val="dk1">
                  <a:alpha val="40000"/>
                </a:schemeClr>
              </a:outerShdw>
            </a:effectLst>
          </a:endParaRPr>
        </a:p>
      </xdr:txBody>
    </xdr:sp>
    <xdr:clientData/>
  </xdr:twoCellAnchor>
  <xdr:twoCellAnchor>
    <xdr:from>
      <xdr:col>8</xdr:col>
      <xdr:colOff>144780</xdr:colOff>
      <xdr:row>21</xdr:row>
      <xdr:rowOff>106680</xdr:rowOff>
    </xdr:from>
    <xdr:to>
      <xdr:col>20</xdr:col>
      <xdr:colOff>281940</xdr:colOff>
      <xdr:row>33</xdr:row>
      <xdr:rowOff>30480</xdr:rowOff>
    </xdr:to>
    <xdr:sp macro="" textlink="">
      <xdr:nvSpPr>
        <xdr:cNvPr id="15" name="Rectangle 14">
          <a:extLst>
            <a:ext uri="{FF2B5EF4-FFF2-40B4-BE49-F238E27FC236}">
              <a16:creationId xmlns:a16="http://schemas.microsoft.com/office/drawing/2014/main" id="{F1887023-A201-4CA5-BF33-B4370675464B}"/>
            </a:ext>
          </a:extLst>
        </xdr:cNvPr>
        <xdr:cNvSpPr/>
      </xdr:nvSpPr>
      <xdr:spPr>
        <a:xfrm>
          <a:off x="5021580" y="3947160"/>
          <a:ext cx="7452360" cy="211836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60960</xdr:colOff>
      <xdr:row>3</xdr:row>
      <xdr:rowOff>83820</xdr:rowOff>
    </xdr:from>
    <xdr:to>
      <xdr:col>3</xdr:col>
      <xdr:colOff>571500</xdr:colOff>
      <xdr:row>8</xdr:row>
      <xdr:rowOff>99060</xdr:rowOff>
    </xdr:to>
    <xdr:sp macro="" textlink="">
      <xdr:nvSpPr>
        <xdr:cNvPr id="16" name="Rectangle 15">
          <a:extLst>
            <a:ext uri="{FF2B5EF4-FFF2-40B4-BE49-F238E27FC236}">
              <a16:creationId xmlns:a16="http://schemas.microsoft.com/office/drawing/2014/main" id="{710A89D2-A2BB-498B-8E75-99D4B75D86BA}"/>
            </a:ext>
          </a:extLst>
        </xdr:cNvPr>
        <xdr:cNvSpPr/>
      </xdr:nvSpPr>
      <xdr:spPr>
        <a:xfrm>
          <a:off x="60960" y="632460"/>
          <a:ext cx="2339340" cy="92964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60960</xdr:colOff>
      <xdr:row>11</xdr:row>
      <xdr:rowOff>68580</xdr:rowOff>
    </xdr:from>
    <xdr:to>
      <xdr:col>3</xdr:col>
      <xdr:colOff>571500</xdr:colOff>
      <xdr:row>18</xdr:row>
      <xdr:rowOff>60960</xdr:rowOff>
    </xdr:to>
    <xdr:sp macro="" textlink="">
      <xdr:nvSpPr>
        <xdr:cNvPr id="19" name="Rectangle 18">
          <a:extLst>
            <a:ext uri="{FF2B5EF4-FFF2-40B4-BE49-F238E27FC236}">
              <a16:creationId xmlns:a16="http://schemas.microsoft.com/office/drawing/2014/main" id="{B13940E4-BEAF-4663-9661-DCAF6BF5A7F0}"/>
            </a:ext>
          </a:extLst>
        </xdr:cNvPr>
        <xdr:cNvSpPr/>
      </xdr:nvSpPr>
      <xdr:spPr>
        <a:xfrm>
          <a:off x="60960" y="2080260"/>
          <a:ext cx="2339340" cy="127254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53340</xdr:colOff>
      <xdr:row>18</xdr:row>
      <xdr:rowOff>167640</xdr:rowOff>
    </xdr:from>
    <xdr:to>
      <xdr:col>3</xdr:col>
      <xdr:colOff>563880</xdr:colOff>
      <xdr:row>25</xdr:row>
      <xdr:rowOff>121920</xdr:rowOff>
    </xdr:to>
    <xdr:sp macro="" textlink="">
      <xdr:nvSpPr>
        <xdr:cNvPr id="20" name="Rectangle 19">
          <a:extLst>
            <a:ext uri="{FF2B5EF4-FFF2-40B4-BE49-F238E27FC236}">
              <a16:creationId xmlns:a16="http://schemas.microsoft.com/office/drawing/2014/main" id="{85D6EB46-6467-4555-858C-EBFBE97D654A}"/>
            </a:ext>
          </a:extLst>
        </xdr:cNvPr>
        <xdr:cNvSpPr/>
      </xdr:nvSpPr>
      <xdr:spPr>
        <a:xfrm>
          <a:off x="53340" y="3459480"/>
          <a:ext cx="2339340" cy="123444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68580</xdr:colOff>
      <xdr:row>26</xdr:row>
      <xdr:rowOff>15240</xdr:rowOff>
    </xdr:from>
    <xdr:to>
      <xdr:col>3</xdr:col>
      <xdr:colOff>579120</xdr:colOff>
      <xdr:row>33</xdr:row>
      <xdr:rowOff>45720</xdr:rowOff>
    </xdr:to>
    <xdr:sp macro="" textlink="">
      <xdr:nvSpPr>
        <xdr:cNvPr id="21" name="Rectangle 20">
          <a:extLst>
            <a:ext uri="{FF2B5EF4-FFF2-40B4-BE49-F238E27FC236}">
              <a16:creationId xmlns:a16="http://schemas.microsoft.com/office/drawing/2014/main" id="{88F1E46B-3336-4B65-808E-77824676E89B}"/>
            </a:ext>
          </a:extLst>
        </xdr:cNvPr>
        <xdr:cNvSpPr/>
      </xdr:nvSpPr>
      <xdr:spPr>
        <a:xfrm>
          <a:off x="68580" y="4770120"/>
          <a:ext cx="2339340" cy="131064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121920</xdr:colOff>
      <xdr:row>11</xdr:row>
      <xdr:rowOff>15240</xdr:rowOff>
    </xdr:from>
    <xdr:to>
      <xdr:col>7</xdr:col>
      <xdr:colOff>548640</xdr:colOff>
      <xdr:row>32</xdr:row>
      <xdr:rowOff>121920</xdr:rowOff>
    </xdr:to>
    <xdr:graphicFrame macro="">
      <xdr:nvGraphicFramePr>
        <xdr:cNvPr id="23" name="Chart 22">
          <a:extLst>
            <a:ext uri="{FF2B5EF4-FFF2-40B4-BE49-F238E27FC236}">
              <a16:creationId xmlns:a16="http://schemas.microsoft.com/office/drawing/2014/main" id="{5B75523E-F2FA-4E13-8208-8E8F824FE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342900</xdr:colOff>
      <xdr:row>10</xdr:row>
      <xdr:rowOff>0</xdr:rowOff>
    </xdr:from>
    <xdr:to>
      <xdr:col>19</xdr:col>
      <xdr:colOff>388620</xdr:colOff>
      <xdr:row>20</xdr:row>
      <xdr:rowOff>76200</xdr:rowOff>
    </xdr:to>
    <xdr:graphicFrame macro="">
      <xdr:nvGraphicFramePr>
        <xdr:cNvPr id="24" name="Chart 23">
          <a:extLst>
            <a:ext uri="{FF2B5EF4-FFF2-40B4-BE49-F238E27FC236}">
              <a16:creationId xmlns:a16="http://schemas.microsoft.com/office/drawing/2014/main" id="{BE1B8AF3-1470-47B0-8D03-497229160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426720</xdr:colOff>
      <xdr:row>22</xdr:row>
      <xdr:rowOff>22860</xdr:rowOff>
    </xdr:from>
    <xdr:to>
      <xdr:col>19</xdr:col>
      <xdr:colOff>7620</xdr:colOff>
      <xdr:row>32</xdr:row>
      <xdr:rowOff>99060</xdr:rowOff>
    </xdr:to>
    <xdr:graphicFrame macro="">
      <xdr:nvGraphicFramePr>
        <xdr:cNvPr id="26" name="Chart 25">
          <a:extLst>
            <a:ext uri="{FF2B5EF4-FFF2-40B4-BE49-F238E27FC236}">
              <a16:creationId xmlns:a16="http://schemas.microsoft.com/office/drawing/2014/main" id="{7C06C5E0-019D-4B64-A46C-ECDAFAC7D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251460</xdr:colOff>
      <xdr:row>0</xdr:row>
      <xdr:rowOff>0</xdr:rowOff>
    </xdr:from>
    <xdr:to>
      <xdr:col>3</xdr:col>
      <xdr:colOff>304800</xdr:colOff>
      <xdr:row>3</xdr:row>
      <xdr:rowOff>83820</xdr:rowOff>
    </xdr:to>
    <xdr:pic>
      <xdr:nvPicPr>
        <xdr:cNvPr id="29" name="Graphic 28" descr="Open hand with plant with solid fill">
          <a:extLst>
            <a:ext uri="{FF2B5EF4-FFF2-40B4-BE49-F238E27FC236}">
              <a16:creationId xmlns:a16="http://schemas.microsoft.com/office/drawing/2014/main" id="{9192971D-A7C8-5D3C-5BDA-A114590443D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70660" y="0"/>
          <a:ext cx="662940" cy="632460"/>
        </a:xfrm>
        <a:prstGeom prst="rect">
          <a:avLst/>
        </a:prstGeom>
      </xdr:spPr>
    </xdr:pic>
    <xdr:clientData/>
  </xdr:twoCellAnchor>
  <xdr:twoCellAnchor editAs="oneCell">
    <xdr:from>
      <xdr:col>0</xdr:col>
      <xdr:colOff>76200</xdr:colOff>
      <xdr:row>4</xdr:row>
      <xdr:rowOff>121921</xdr:rowOff>
    </xdr:from>
    <xdr:to>
      <xdr:col>3</xdr:col>
      <xdr:colOff>76200</xdr:colOff>
      <xdr:row>8</xdr:row>
      <xdr:rowOff>53340</xdr:rowOff>
    </xdr:to>
    <mc:AlternateContent xmlns:mc="http://schemas.openxmlformats.org/markup-compatibility/2006">
      <mc:Choice xmlns:a14="http://schemas.microsoft.com/office/drawing/2010/main" Requires="a14">
        <xdr:graphicFrame macro="">
          <xdr:nvGraphicFramePr>
            <xdr:cNvPr id="31" name="Season 1">
              <a:extLst>
                <a:ext uri="{FF2B5EF4-FFF2-40B4-BE49-F238E27FC236}">
                  <a16:creationId xmlns:a16="http://schemas.microsoft.com/office/drawing/2014/main" id="{2FA2564D-C7B0-48F4-9BAA-A5CC24ED85F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76200" y="853441"/>
              <a:ext cx="1828800" cy="662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11</xdr:row>
      <xdr:rowOff>129541</xdr:rowOff>
    </xdr:from>
    <xdr:to>
      <xdr:col>3</xdr:col>
      <xdr:colOff>129540</xdr:colOff>
      <xdr:row>18</xdr:row>
      <xdr:rowOff>1</xdr:rowOff>
    </xdr:to>
    <mc:AlternateContent xmlns:mc="http://schemas.openxmlformats.org/markup-compatibility/2006">
      <mc:Choice xmlns:a14="http://schemas.microsoft.com/office/drawing/2010/main" Requires="a14">
        <xdr:graphicFrame macro="">
          <xdr:nvGraphicFramePr>
            <xdr:cNvPr id="32" name="Soil_Type 1">
              <a:extLst>
                <a:ext uri="{FF2B5EF4-FFF2-40B4-BE49-F238E27FC236}">
                  <a16:creationId xmlns:a16="http://schemas.microsoft.com/office/drawing/2014/main" id="{B7BF74DB-95FB-4BF8-BD9C-D0828715860B}"/>
                </a:ext>
              </a:extLst>
            </xdr:cNvPr>
            <xdr:cNvGraphicFramePr/>
          </xdr:nvGraphicFramePr>
          <xdr:xfrm>
            <a:off x="0" y="0"/>
            <a:ext cx="0" cy="0"/>
          </xdr:xfrm>
          <a:graphic>
            <a:graphicData uri="http://schemas.microsoft.com/office/drawing/2010/slicer">
              <sle:slicer xmlns:sle="http://schemas.microsoft.com/office/drawing/2010/slicer" name="Soil_Type 1"/>
            </a:graphicData>
          </a:graphic>
        </xdr:graphicFrame>
      </mc:Choice>
      <mc:Fallback>
        <xdr:sp macro="" textlink="">
          <xdr:nvSpPr>
            <xdr:cNvPr id="0" name=""/>
            <xdr:cNvSpPr>
              <a:spLocks noTextEdit="1"/>
            </xdr:cNvSpPr>
          </xdr:nvSpPr>
          <xdr:spPr>
            <a:xfrm>
              <a:off x="129540" y="214122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18</xdr:row>
      <xdr:rowOff>167641</xdr:rowOff>
    </xdr:from>
    <xdr:to>
      <xdr:col>3</xdr:col>
      <xdr:colOff>53340</xdr:colOff>
      <xdr:row>25</xdr:row>
      <xdr:rowOff>7621</xdr:rowOff>
    </xdr:to>
    <mc:AlternateContent xmlns:mc="http://schemas.openxmlformats.org/markup-compatibility/2006">
      <mc:Choice xmlns:a14="http://schemas.microsoft.com/office/drawing/2010/main" Requires="a14">
        <xdr:graphicFrame macro="">
          <xdr:nvGraphicFramePr>
            <xdr:cNvPr id="33" name="Crop_Type 1">
              <a:extLst>
                <a:ext uri="{FF2B5EF4-FFF2-40B4-BE49-F238E27FC236}">
                  <a16:creationId xmlns:a16="http://schemas.microsoft.com/office/drawing/2014/main" id="{E275111E-B970-46CA-9DB1-C14A14A0F5A9}"/>
                </a:ext>
              </a:extLst>
            </xdr:cNvPr>
            <xdr:cNvGraphicFramePr/>
          </xdr:nvGraphicFramePr>
          <xdr:xfrm>
            <a:off x="0" y="0"/>
            <a:ext cx="0" cy="0"/>
          </xdr:xfrm>
          <a:graphic>
            <a:graphicData uri="http://schemas.microsoft.com/office/drawing/2010/slicer">
              <sle:slicer xmlns:sle="http://schemas.microsoft.com/office/drawing/2010/slicer" name="Crop_Type 1"/>
            </a:graphicData>
          </a:graphic>
        </xdr:graphicFrame>
      </mc:Choice>
      <mc:Fallback>
        <xdr:sp macro="" textlink="">
          <xdr:nvSpPr>
            <xdr:cNvPr id="0" name=""/>
            <xdr:cNvSpPr>
              <a:spLocks noTextEdit="1"/>
            </xdr:cNvSpPr>
          </xdr:nvSpPr>
          <xdr:spPr>
            <a:xfrm>
              <a:off x="53340" y="3459481"/>
              <a:ext cx="182880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26</xdr:row>
      <xdr:rowOff>30481</xdr:rowOff>
    </xdr:from>
    <xdr:to>
      <xdr:col>3</xdr:col>
      <xdr:colOff>114300</xdr:colOff>
      <xdr:row>32</xdr:row>
      <xdr:rowOff>137161</xdr:rowOff>
    </xdr:to>
    <mc:AlternateContent xmlns:mc="http://schemas.openxmlformats.org/markup-compatibility/2006">
      <mc:Choice xmlns:a14="http://schemas.microsoft.com/office/drawing/2010/main" Requires="a14">
        <xdr:graphicFrame macro="">
          <xdr:nvGraphicFramePr>
            <xdr:cNvPr id="34" name="Irrigation_Type 1">
              <a:extLst>
                <a:ext uri="{FF2B5EF4-FFF2-40B4-BE49-F238E27FC236}">
                  <a16:creationId xmlns:a16="http://schemas.microsoft.com/office/drawing/2014/main" id="{CA9032E7-CA7B-4C30-88A0-3F8FF8A79F01}"/>
                </a:ext>
              </a:extLst>
            </xdr:cNvPr>
            <xdr:cNvGraphicFramePr/>
          </xdr:nvGraphicFramePr>
          <xdr:xfrm>
            <a:off x="0" y="0"/>
            <a:ext cx="0" cy="0"/>
          </xdr:xfrm>
          <a:graphic>
            <a:graphicData uri="http://schemas.microsoft.com/office/drawing/2010/slicer">
              <sle:slicer xmlns:sle="http://schemas.microsoft.com/office/drawing/2010/slicer" name="Irrigation_Type 1"/>
            </a:graphicData>
          </a:graphic>
        </xdr:graphicFrame>
      </mc:Choice>
      <mc:Fallback>
        <xdr:sp macro="" textlink="">
          <xdr:nvSpPr>
            <xdr:cNvPr id="0" name=""/>
            <xdr:cNvSpPr>
              <a:spLocks noTextEdit="1"/>
            </xdr:cNvSpPr>
          </xdr:nvSpPr>
          <xdr:spPr>
            <a:xfrm>
              <a:off x="114300" y="4785361"/>
              <a:ext cx="1828800" cy="1203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g Criss" refreshedDate="46132.412732291668" createdVersion="8" refreshedVersion="8" minRefreshableVersion="3" recordCount="50" xr:uid="{AFD8B0F7-F73E-45B0-A6BB-6A50F3F72672}">
  <cacheSource type="worksheet">
    <worksheetSource ref="A1:J51" sheet="agriculture_dataset"/>
  </cacheSource>
  <cacheFields count="10">
    <cacheField name="Farm_ID" numFmtId="0">
      <sharedItems/>
    </cacheField>
    <cacheField name="Crop_Type" numFmtId="0">
      <sharedItems count="10">
        <s v="Cotton"/>
        <s v="Carrot"/>
        <s v="Sugarcane"/>
        <s v="Tomato"/>
        <s v="Soybean"/>
        <s v="Rice"/>
        <s v="Maize"/>
        <s v="Wheat"/>
        <s v="Barley"/>
        <s v="Potato"/>
      </sharedItems>
    </cacheField>
    <cacheField name="Farm_Area(acres)" numFmtId="0">
      <sharedItems containsSemiMixedTypes="0" containsString="0" containsNumber="1" minValue="12.5" maxValue="483.88"/>
    </cacheField>
    <cacheField name="Irrigation_Type" numFmtId="0">
      <sharedItems count="5">
        <s v="Sprinkler"/>
        <s v="Manual"/>
        <s v="Flood"/>
        <s v="Rain-fed"/>
        <s v="Drip"/>
      </sharedItems>
    </cacheField>
    <cacheField name="Fertilizer_Used(tons)" numFmtId="0">
      <sharedItems containsSemiMixedTypes="0" containsString="0" containsNumber="1" minValue="0.5" maxValue="9.9600000000000009"/>
    </cacheField>
    <cacheField name="Pesticide_Used(kg)" numFmtId="0">
      <sharedItems containsSemiMixedTypes="0" containsString="0" containsNumber="1" minValue="0.14000000000000001" maxValue="4.99"/>
    </cacheField>
    <cacheField name="Yield(tons)" numFmtId="0">
      <sharedItems containsSemiMixedTypes="0" containsString="0" containsNumber="1" minValue="3.86" maxValue="48.02" count="50">
        <n v="14.44"/>
        <n v="42.91"/>
        <n v="33.44"/>
        <n v="34.08"/>
        <n v="43.28"/>
        <n v="38.18"/>
        <n v="44.93"/>
        <n v="4.2300000000000004"/>
        <n v="3.86"/>
        <n v="17.25"/>
        <n v="32.85"/>
        <n v="8.08"/>
        <n v="5.44"/>
        <n v="11.38"/>
        <n v="28.77"/>
        <n v="16.03"/>
        <n v="47.7"/>
        <n v="16.670000000000002"/>
        <n v="39.96"/>
        <n v="18.850000000000001"/>
        <n v="29.17"/>
        <n v="30.7"/>
        <n v="18.13"/>
        <n v="34.46"/>
        <n v="6.14"/>
        <n v="24.63"/>
        <n v="22.51"/>
        <n v="48.02"/>
        <n v="36.9"/>
        <n v="30.5"/>
        <n v="11.86"/>
        <n v="24.34"/>
        <n v="46.47"/>
        <n v="12.92"/>
        <n v="34.450000000000003"/>
        <n v="12.53"/>
        <n v="40.15"/>
        <n v="45.95"/>
        <n v="10.53"/>
        <n v="46.19"/>
        <n v="35.01"/>
        <n v="26.29"/>
        <n v="11.45"/>
        <n v="24.77"/>
        <n v="18.34"/>
        <n v="31.57"/>
        <n v="31.47"/>
        <n v="20.53"/>
        <n v="39.51"/>
        <n v="45.14"/>
      </sharedItems>
    </cacheField>
    <cacheField name="Soil_Type" numFmtId="0">
      <sharedItems count="5">
        <s v="Loamy"/>
        <s v="Peaty"/>
        <s v="Silty"/>
        <s v="Clay"/>
        <s v="Sandy"/>
      </sharedItems>
    </cacheField>
    <cacheField name="Season" numFmtId="0">
      <sharedItems count="3">
        <s v="Kharif"/>
        <s v="Zaid"/>
        <s v="Rabi"/>
      </sharedItems>
    </cacheField>
    <cacheField name="Water_Usage(cubic meters)" numFmtId="0">
      <sharedItems containsSemiMixedTypes="0" containsString="0" containsNumber="1" minValue="5869.75" maxValue="94754.73" count="50">
        <n v="76648.2"/>
        <n v="68725.539999999994"/>
        <n v="75538.559999999998"/>
        <n v="45401.23"/>
        <n v="93718.69"/>
        <n v="46487.98"/>
        <n v="40583.57"/>
        <n v="9392.3799999999992"/>
        <n v="60202.14"/>
        <n v="90922.15"/>
        <n v="5869.75"/>
        <n v="88976.51"/>
        <n v="45922.35"/>
        <n v="71953.14"/>
        <n v="33615.769999999997"/>
        <n v="25132.48"/>
        <n v="88301.46"/>
        <n v="18660.03"/>
        <n v="54314.28"/>
        <n v="92481.89"/>
        <n v="26743.55"/>
        <n v="42874.34"/>
        <n v="41862.86"/>
        <n v="61383.07"/>
        <n v="43847.82"/>
        <n v="65838.399999999994"/>
        <n v="39362.44"/>
        <n v="81313.039999999994"/>
        <n v="23208.04"/>
        <n v="93407.38"/>
        <n v="30098.35"/>
        <n v="71580.87"/>
        <n v="93656.06"/>
        <n v="92745.01"/>
        <n v="43610.21"/>
        <n v="38874.28"/>
        <n v="73646.55"/>
        <n v="36065.94"/>
        <n v="82549.03"/>
        <n v="12007.7"/>
        <n v="85208.71"/>
        <n v="33705.69"/>
        <n v="94754.73"/>
        <n v="40614.400000000001"/>
        <n v="37466.11"/>
        <n v="79966.100000000006"/>
        <n v="86989.88"/>
        <n v="5874.17"/>
        <n v="53879.87"/>
        <n v="90232.08"/>
      </sharedItems>
    </cacheField>
  </cacheFields>
  <extLst>
    <ext xmlns:x14="http://schemas.microsoft.com/office/spreadsheetml/2009/9/main" uri="{725AE2AE-9491-48be-B2B4-4EB974FC3084}">
      <x14:pivotCacheDefinition pivotCacheId="388714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F001"/>
    <x v="0"/>
    <n v="329.4"/>
    <x v="0"/>
    <n v="8.14"/>
    <n v="2.21"/>
    <x v="0"/>
    <x v="0"/>
    <x v="0"/>
    <x v="0"/>
  </r>
  <r>
    <s v="F002"/>
    <x v="1"/>
    <n v="18.670000000000002"/>
    <x v="1"/>
    <n v="4.7699999999999996"/>
    <n v="4.3600000000000003"/>
    <x v="1"/>
    <x v="1"/>
    <x v="0"/>
    <x v="1"/>
  </r>
  <r>
    <s v="F003"/>
    <x v="2"/>
    <n v="306.02999999999997"/>
    <x v="2"/>
    <n v="2.91"/>
    <n v="0.56000000000000005"/>
    <x v="2"/>
    <x v="2"/>
    <x v="0"/>
    <x v="2"/>
  </r>
  <r>
    <s v="F004"/>
    <x v="3"/>
    <n v="380.21"/>
    <x v="3"/>
    <n v="3.32"/>
    <n v="4.3499999999999996"/>
    <x v="3"/>
    <x v="2"/>
    <x v="1"/>
    <x v="3"/>
  </r>
  <r>
    <s v="F005"/>
    <x v="3"/>
    <n v="135.56"/>
    <x v="0"/>
    <n v="8.33"/>
    <n v="4.4800000000000004"/>
    <x v="4"/>
    <x v="3"/>
    <x v="1"/>
    <x v="4"/>
  </r>
  <r>
    <s v="F006"/>
    <x v="2"/>
    <n v="12.5"/>
    <x v="0"/>
    <n v="6.42"/>
    <n v="2.25"/>
    <x v="5"/>
    <x v="0"/>
    <x v="1"/>
    <x v="5"/>
  </r>
  <r>
    <s v="F007"/>
    <x v="4"/>
    <n v="360.06"/>
    <x v="4"/>
    <n v="1.83"/>
    <n v="2.37"/>
    <x v="6"/>
    <x v="4"/>
    <x v="2"/>
    <x v="6"/>
  </r>
  <r>
    <s v="F008"/>
    <x v="5"/>
    <n v="464.6"/>
    <x v="4"/>
    <n v="5.18"/>
    <n v="0.91"/>
    <x v="7"/>
    <x v="2"/>
    <x v="0"/>
    <x v="7"/>
  </r>
  <r>
    <s v="F009"/>
    <x v="6"/>
    <n v="389.37"/>
    <x v="4"/>
    <n v="0.56999999999999995"/>
    <n v="4.93"/>
    <x v="8"/>
    <x v="1"/>
    <x v="2"/>
    <x v="8"/>
  </r>
  <r>
    <s v="F010"/>
    <x v="4"/>
    <n v="184.37"/>
    <x v="4"/>
    <n v="2.1800000000000002"/>
    <n v="2.67"/>
    <x v="9"/>
    <x v="4"/>
    <x v="0"/>
    <x v="9"/>
  </r>
  <r>
    <s v="F011"/>
    <x v="5"/>
    <n v="279.95"/>
    <x v="4"/>
    <n v="8.02"/>
    <n v="1.24"/>
    <x v="10"/>
    <x v="3"/>
    <x v="1"/>
    <x v="10"/>
  </r>
  <r>
    <s v="F012"/>
    <x v="2"/>
    <n v="145.32"/>
    <x v="2"/>
    <n v="3.01"/>
    <n v="2.27"/>
    <x v="11"/>
    <x v="3"/>
    <x v="0"/>
    <x v="11"/>
  </r>
  <r>
    <s v="F013"/>
    <x v="7"/>
    <n v="329.1"/>
    <x v="4"/>
    <n v="5.26"/>
    <n v="0.83"/>
    <x v="12"/>
    <x v="3"/>
    <x v="1"/>
    <x v="12"/>
  </r>
  <r>
    <s v="F014"/>
    <x v="5"/>
    <n v="246.02"/>
    <x v="2"/>
    <n v="1.01"/>
    <n v="3.45"/>
    <x v="13"/>
    <x v="4"/>
    <x v="2"/>
    <x v="13"/>
  </r>
  <r>
    <s v="F015"/>
    <x v="2"/>
    <n v="305.14999999999998"/>
    <x v="3"/>
    <n v="5.39"/>
    <n v="2.15"/>
    <x v="14"/>
    <x v="1"/>
    <x v="0"/>
    <x v="14"/>
  </r>
  <r>
    <s v="F016"/>
    <x v="8"/>
    <n v="60.22"/>
    <x v="2"/>
    <n v="2.19"/>
    <n v="0.35"/>
    <x v="15"/>
    <x v="4"/>
    <x v="1"/>
    <x v="15"/>
  </r>
  <r>
    <s v="F017"/>
    <x v="1"/>
    <n v="284.01"/>
    <x v="1"/>
    <n v="5.89"/>
    <n v="0.81"/>
    <x v="16"/>
    <x v="0"/>
    <x v="1"/>
    <x v="16"/>
  </r>
  <r>
    <s v="F018"/>
    <x v="6"/>
    <n v="128.22999999999999"/>
    <x v="3"/>
    <n v="4.91"/>
    <n v="0.77"/>
    <x v="17"/>
    <x v="0"/>
    <x v="2"/>
    <x v="17"/>
  </r>
  <r>
    <s v="F019"/>
    <x v="6"/>
    <n v="460.93"/>
    <x v="4"/>
    <n v="1.0900000000000001"/>
    <n v="1.31"/>
    <x v="18"/>
    <x v="4"/>
    <x v="1"/>
    <x v="18"/>
  </r>
  <r>
    <s v="F020"/>
    <x v="8"/>
    <n v="58.85"/>
    <x v="0"/>
    <n v="3.61"/>
    <n v="3.32"/>
    <x v="19"/>
    <x v="4"/>
    <x v="0"/>
    <x v="19"/>
  </r>
  <r>
    <s v="F021"/>
    <x v="0"/>
    <n v="377.05"/>
    <x v="4"/>
    <n v="5.95"/>
    <n v="0.91"/>
    <x v="20"/>
    <x v="3"/>
    <x v="2"/>
    <x v="20"/>
  </r>
  <r>
    <s v="F022"/>
    <x v="7"/>
    <n v="92.67"/>
    <x v="2"/>
    <n v="6.95"/>
    <n v="3.64"/>
    <x v="21"/>
    <x v="3"/>
    <x v="2"/>
    <x v="21"/>
  </r>
  <r>
    <s v="F023"/>
    <x v="9"/>
    <n v="15.67"/>
    <x v="4"/>
    <n v="9.9499999999999993"/>
    <n v="2.99"/>
    <x v="22"/>
    <x v="0"/>
    <x v="1"/>
    <x v="22"/>
  </r>
  <r>
    <s v="F024"/>
    <x v="5"/>
    <n v="483.88"/>
    <x v="4"/>
    <n v="6.31"/>
    <n v="2.29"/>
    <x v="23"/>
    <x v="3"/>
    <x v="1"/>
    <x v="23"/>
  </r>
  <r>
    <s v="F025"/>
    <x v="8"/>
    <n v="75.64"/>
    <x v="2"/>
    <n v="6.69"/>
    <n v="3.57"/>
    <x v="24"/>
    <x v="2"/>
    <x v="1"/>
    <x v="24"/>
  </r>
  <r>
    <s v="F026"/>
    <x v="7"/>
    <n v="162.28"/>
    <x v="2"/>
    <n v="5.85"/>
    <n v="2.42"/>
    <x v="25"/>
    <x v="0"/>
    <x v="2"/>
    <x v="25"/>
  </r>
  <r>
    <s v="F027"/>
    <x v="0"/>
    <n v="375.1"/>
    <x v="3"/>
    <n v="0.5"/>
    <n v="4.76"/>
    <x v="26"/>
    <x v="3"/>
    <x v="0"/>
    <x v="26"/>
  </r>
  <r>
    <s v="F028"/>
    <x v="3"/>
    <n v="256.19"/>
    <x v="2"/>
    <n v="7.32"/>
    <n v="2.19"/>
    <x v="27"/>
    <x v="2"/>
    <x v="2"/>
    <x v="27"/>
  </r>
  <r>
    <s v="F029"/>
    <x v="7"/>
    <n v="288.52"/>
    <x v="1"/>
    <n v="1.79"/>
    <n v="4.78"/>
    <x v="28"/>
    <x v="2"/>
    <x v="1"/>
    <x v="28"/>
  </r>
  <r>
    <s v="F030"/>
    <x v="9"/>
    <n v="286.52"/>
    <x v="3"/>
    <n v="8.91"/>
    <n v="0.77"/>
    <x v="29"/>
    <x v="0"/>
    <x v="1"/>
    <x v="29"/>
  </r>
  <r>
    <s v="F031"/>
    <x v="8"/>
    <n v="136.16"/>
    <x v="2"/>
    <n v="5.89"/>
    <n v="1.36"/>
    <x v="30"/>
    <x v="3"/>
    <x v="1"/>
    <x v="30"/>
  </r>
  <r>
    <s v="F032"/>
    <x v="1"/>
    <n v="350.42"/>
    <x v="2"/>
    <n v="8.4"/>
    <n v="2.94"/>
    <x v="31"/>
    <x v="3"/>
    <x v="2"/>
    <x v="31"/>
  </r>
  <r>
    <s v="F033"/>
    <x v="8"/>
    <n v="446.76"/>
    <x v="4"/>
    <n v="7.79"/>
    <n v="0.96"/>
    <x v="32"/>
    <x v="0"/>
    <x v="1"/>
    <x v="32"/>
  </r>
  <r>
    <s v="F034"/>
    <x v="3"/>
    <n v="264.12"/>
    <x v="4"/>
    <n v="4.75"/>
    <n v="4.79"/>
    <x v="33"/>
    <x v="0"/>
    <x v="2"/>
    <x v="33"/>
  </r>
  <r>
    <s v="F035"/>
    <x v="4"/>
    <n v="266.02999999999997"/>
    <x v="4"/>
    <n v="8.57"/>
    <n v="1.35"/>
    <x v="34"/>
    <x v="2"/>
    <x v="1"/>
    <x v="34"/>
  </r>
  <r>
    <s v="F036"/>
    <x v="0"/>
    <n v="446.16"/>
    <x v="1"/>
    <n v="4.3499999999999996"/>
    <n v="3.47"/>
    <x v="35"/>
    <x v="0"/>
    <x v="1"/>
    <x v="35"/>
  </r>
  <r>
    <s v="F037"/>
    <x v="4"/>
    <n v="156.1"/>
    <x v="1"/>
    <n v="1.18"/>
    <n v="4.43"/>
    <x v="36"/>
    <x v="0"/>
    <x v="1"/>
    <x v="36"/>
  </r>
  <r>
    <s v="F038"/>
    <x v="8"/>
    <n v="431.22"/>
    <x v="4"/>
    <n v="5.71"/>
    <n v="3.18"/>
    <x v="37"/>
    <x v="2"/>
    <x v="0"/>
    <x v="37"/>
  </r>
  <r>
    <s v="F039"/>
    <x v="0"/>
    <n v="220.48"/>
    <x v="2"/>
    <n v="9.9600000000000009"/>
    <n v="2.91"/>
    <x v="38"/>
    <x v="3"/>
    <x v="1"/>
    <x v="38"/>
  </r>
  <r>
    <s v="F040"/>
    <x v="0"/>
    <n v="166.82"/>
    <x v="3"/>
    <n v="2.85"/>
    <n v="1.36"/>
    <x v="39"/>
    <x v="4"/>
    <x v="1"/>
    <x v="39"/>
  </r>
  <r>
    <s v="F041"/>
    <x v="5"/>
    <n v="370.79"/>
    <x v="2"/>
    <n v="8.18"/>
    <n v="4.99"/>
    <x v="40"/>
    <x v="4"/>
    <x v="0"/>
    <x v="40"/>
  </r>
  <r>
    <s v="F042"/>
    <x v="2"/>
    <n v="418.99"/>
    <x v="0"/>
    <n v="0.78"/>
    <n v="0.57999999999999996"/>
    <x v="41"/>
    <x v="3"/>
    <x v="1"/>
    <x v="41"/>
  </r>
  <r>
    <s v="F043"/>
    <x v="0"/>
    <n v="78.790000000000006"/>
    <x v="2"/>
    <n v="1.35"/>
    <n v="3"/>
    <x v="42"/>
    <x v="4"/>
    <x v="1"/>
    <x v="42"/>
  </r>
  <r>
    <s v="F044"/>
    <x v="4"/>
    <n v="84.12"/>
    <x v="1"/>
    <n v="4.6399999999999997"/>
    <n v="2.5299999999999998"/>
    <x v="43"/>
    <x v="4"/>
    <x v="2"/>
    <x v="43"/>
  </r>
  <r>
    <s v="F045"/>
    <x v="3"/>
    <n v="326.69"/>
    <x v="0"/>
    <n v="5.24"/>
    <n v="0.55000000000000004"/>
    <x v="44"/>
    <x v="1"/>
    <x v="0"/>
    <x v="44"/>
  </r>
  <r>
    <s v="F046"/>
    <x v="1"/>
    <n v="112.8"/>
    <x v="0"/>
    <n v="1.8"/>
    <n v="1.01"/>
    <x v="45"/>
    <x v="3"/>
    <x v="0"/>
    <x v="45"/>
  </r>
  <r>
    <s v="F047"/>
    <x v="9"/>
    <n v="347.66"/>
    <x v="4"/>
    <n v="3.86"/>
    <n v="2.68"/>
    <x v="46"/>
    <x v="4"/>
    <x v="0"/>
    <x v="46"/>
  </r>
  <r>
    <s v="F048"/>
    <x v="9"/>
    <n v="77.39"/>
    <x v="0"/>
    <n v="9.34"/>
    <n v="3"/>
    <x v="47"/>
    <x v="2"/>
    <x v="1"/>
    <x v="47"/>
  </r>
  <r>
    <s v="F049"/>
    <x v="8"/>
    <n v="462.37"/>
    <x v="0"/>
    <n v="2.2999999999999998"/>
    <n v="0.14000000000000001"/>
    <x v="48"/>
    <x v="3"/>
    <x v="0"/>
    <x v="48"/>
  </r>
  <r>
    <s v="F050"/>
    <x v="3"/>
    <n v="292.25"/>
    <x v="3"/>
    <n v="4.08"/>
    <n v="0.76"/>
    <x v="49"/>
    <x v="2"/>
    <x v="0"/>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57E4F6-FDCD-402E-A6C9-D1D54FC9956C}" name="PivotTable53"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E17" firstHeaderRow="1" firstDataRow="1" firstDataCol="0"/>
  <pivotFields count="1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Pesticide_Used(k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5F6B7E-F333-41BB-AC57-7103CC11FEFA}" name="PivotTable52"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E13" firstHeaderRow="1" firstDataRow="1" firstDataCol="0"/>
  <pivotFields count="1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Farm_Area(acres)" fld="2" baseField="0" baseItem="0" numFmtId="17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839AC9-AE08-4FB9-BA3B-E9C2DCC29F7C}" name="PivotTable50"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E9" firstHeaderRow="1" firstDataRow="1" firstDataCol="0"/>
  <pivotFields count="1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Water_Usage(cubic meters)" fld="9" baseField="0" baseItem="0" numFmtId="169"/>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F6D287-E24A-4A91-97FA-87D270069EB1}" name="PivotTable49"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0">
    <pivotField showAll="0"/>
    <pivotField showAll="0"/>
    <pivotField showAll="0"/>
    <pivotField showAll="0"/>
    <pivotField showAll="0"/>
    <pivotField showAll="0"/>
    <pivotField dataField="1" showAll="0">
      <items count="51">
        <item x="8"/>
        <item x="7"/>
        <item x="12"/>
        <item x="24"/>
        <item x="11"/>
        <item x="38"/>
        <item x="13"/>
        <item x="42"/>
        <item x="30"/>
        <item x="35"/>
        <item x="33"/>
        <item x="0"/>
        <item x="15"/>
        <item x="17"/>
        <item x="9"/>
        <item x="22"/>
        <item x="44"/>
        <item x="19"/>
        <item x="47"/>
        <item x="26"/>
        <item x="31"/>
        <item x="25"/>
        <item x="43"/>
        <item x="41"/>
        <item x="14"/>
        <item x="20"/>
        <item x="29"/>
        <item x="21"/>
        <item x="46"/>
        <item x="45"/>
        <item x="10"/>
        <item x="2"/>
        <item x="3"/>
        <item x="34"/>
        <item x="23"/>
        <item x="40"/>
        <item x="28"/>
        <item x="5"/>
        <item x="48"/>
        <item x="18"/>
        <item x="36"/>
        <item x="1"/>
        <item x="4"/>
        <item x="6"/>
        <item x="49"/>
        <item x="37"/>
        <item x="39"/>
        <item x="32"/>
        <item x="16"/>
        <item x="27"/>
        <item t="default"/>
      </items>
    </pivotField>
    <pivotField showAll="0">
      <items count="6">
        <item x="3"/>
        <item x="0"/>
        <item x="1"/>
        <item x="4"/>
        <item x="2"/>
        <item t="default"/>
      </items>
    </pivotField>
    <pivotField showAll="0"/>
    <pivotField showAll="0"/>
  </pivotFields>
  <rowItems count="1">
    <i/>
  </rowItems>
  <colItems count="1">
    <i/>
  </colItems>
  <dataFields count="1">
    <dataField name="Sum of Yield(tons)" fld="6" baseField="0" baseItem="0" numFmtId="171"/>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5462B9-3782-48ED-95E8-B58B718259A7}" name="PivotTable47"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8:C31" firstHeaderRow="1" firstDataRow="1" firstDataCol="1"/>
  <pivotFields count="10">
    <pivotField showAll="0"/>
    <pivotField showAll="0">
      <items count="11">
        <item x="8"/>
        <item h="1" x="1"/>
        <item h="1" x="0"/>
        <item h="1" x="6"/>
        <item h="1" x="9"/>
        <item h="1" x="5"/>
        <item h="1" x="4"/>
        <item h="1" x="2"/>
        <item h="1" x="3"/>
        <item h="1" x="7"/>
        <item t="default"/>
      </items>
    </pivotField>
    <pivotField showAll="0"/>
    <pivotField showAll="0">
      <items count="6">
        <item x="4"/>
        <item x="2"/>
        <item x="1"/>
        <item x="3"/>
        <item x="0"/>
        <item t="default"/>
      </items>
    </pivotField>
    <pivotField showAll="0"/>
    <pivotField showAll="0"/>
    <pivotField showAll="0"/>
    <pivotField showAll="0">
      <items count="6">
        <item x="3"/>
        <item x="0"/>
        <item x="1"/>
        <item x="4"/>
        <item x="2"/>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s>
  <rowFields count="1">
    <field x="8"/>
  </rowFields>
  <rowItems count="3">
    <i>
      <x v="2"/>
    </i>
    <i>
      <x/>
    </i>
    <i t="grand">
      <x/>
    </i>
  </rowItems>
  <colItems count="1">
    <i/>
  </colItems>
  <dataFields count="1">
    <dataField name="Sum of Water_Usage(cubic meters)" fld="9" baseField="0" baseItem="0" numFmtId="166"/>
  </dataFields>
  <formats count="1">
    <format dxfId="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44F7F5-F020-401E-A3A2-2FB03F7820D7}" name="PivotTable46"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4:C25" firstHeaderRow="1" firstDataRow="1" firstDataCol="1"/>
  <pivotFields count="10">
    <pivotField showAll="0"/>
    <pivotField axis="axisRow" showAll="0" sortType="descending">
      <items count="11">
        <item x="8"/>
        <item x="1"/>
        <item x="0"/>
        <item x="6"/>
        <item x="9"/>
        <item x="5"/>
        <item x="4"/>
        <item x="2"/>
        <item x="3"/>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s>
  <rowFields count="1">
    <field x="1"/>
  </rowFields>
  <rowItems count="11">
    <i>
      <x v="8"/>
    </i>
    <i>
      <x/>
    </i>
    <i>
      <x v="2"/>
    </i>
    <i>
      <x v="1"/>
    </i>
    <i>
      <x v="6"/>
    </i>
    <i>
      <x v="7"/>
    </i>
    <i>
      <x v="5"/>
    </i>
    <i>
      <x v="4"/>
    </i>
    <i>
      <x v="9"/>
    </i>
    <i>
      <x v="3"/>
    </i>
    <i t="grand">
      <x/>
    </i>
  </rowItems>
  <colItems count="1">
    <i/>
  </colItems>
  <dataFields count="1">
    <dataField name="Sum of Water_Usage(cubic meters)" fld="9" baseField="0" baseItem="0" numFmtId="166"/>
  </dataFields>
  <formats count="1">
    <format dxfId="1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25C255-B8CA-4E7F-9992-05938C62BBAB}" name="PivotTable44"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C10" firstHeaderRow="1" firstDataRow="1" firstDataCol="1"/>
  <pivotFields count="10">
    <pivotField showAll="0"/>
    <pivotField showAll="0"/>
    <pivotField showAll="0"/>
    <pivotField showAll="0"/>
    <pivotField showAll="0"/>
    <pivotField showAll="0"/>
    <pivotField showAll="0"/>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dataField="1" showAll="0">
      <items count="51">
        <item x="10"/>
        <item x="47"/>
        <item x="7"/>
        <item x="39"/>
        <item x="17"/>
        <item x="28"/>
        <item x="15"/>
        <item x="20"/>
        <item x="30"/>
        <item x="14"/>
        <item x="41"/>
        <item x="37"/>
        <item x="44"/>
        <item x="35"/>
        <item x="26"/>
        <item x="6"/>
        <item x="43"/>
        <item x="22"/>
        <item x="21"/>
        <item x="34"/>
        <item x="24"/>
        <item x="3"/>
        <item x="12"/>
        <item x="5"/>
        <item x="48"/>
        <item x="18"/>
        <item x="8"/>
        <item x="23"/>
        <item x="25"/>
        <item x="1"/>
        <item x="31"/>
        <item x="13"/>
        <item x="36"/>
        <item x="2"/>
        <item x="0"/>
        <item x="45"/>
        <item x="27"/>
        <item x="38"/>
        <item x="40"/>
        <item x="46"/>
        <item x="16"/>
        <item x="11"/>
        <item x="49"/>
        <item x="9"/>
        <item x="19"/>
        <item x="33"/>
        <item x="29"/>
        <item x="32"/>
        <item x="4"/>
        <item x="42"/>
        <item t="default"/>
      </items>
    </pivotField>
  </pivotFields>
  <rowFields count="1">
    <field x="7"/>
  </rowFields>
  <rowItems count="6">
    <i>
      <x v="2"/>
    </i>
    <i>
      <x v="4"/>
    </i>
    <i>
      <x v="3"/>
    </i>
    <i>
      <x v="1"/>
    </i>
    <i>
      <x/>
    </i>
    <i t="grand">
      <x/>
    </i>
  </rowItems>
  <colItems count="1">
    <i/>
  </colItems>
  <dataFields count="1">
    <dataField name="Sum of Water_Usage(cubic meters)" fld="9" baseField="0" baseItem="0" numFmtId="166"/>
  </dataFields>
  <formats count="1">
    <format dxfId="1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39303C5-E039-4999-860B-6399A691232C}" sourceName="Season">
  <pivotTables>
    <pivotTable tabId="3" name="PivotTable47"/>
  </pivotTables>
  <data>
    <tabular pivotCacheId="388714151">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Type" xr10:uid="{FB44E173-71CB-495A-889A-61C3583DAFCC}" sourceName="Crop_Type">
  <pivotTables>
    <pivotTable tabId="3" name="PivotTable47"/>
  </pivotTables>
  <data>
    <tabular pivotCacheId="388714151">
      <items count="10">
        <i x="8" s="1"/>
        <i x="1"/>
        <i x="0"/>
        <i x="6"/>
        <i x="9"/>
        <i x="5"/>
        <i x="4"/>
        <i x="2"/>
        <i x="3"/>
        <i x="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rrigation_Type" xr10:uid="{5457016A-5659-45D9-92B0-6D8A25FD543C}" sourceName="Irrigation_Type">
  <pivotTables>
    <pivotTable tabId="3" name="PivotTable47"/>
  </pivotTables>
  <data>
    <tabular pivotCacheId="388714151">
      <items count="5">
        <i x="4" s="1"/>
        <i x="2" s="1"/>
        <i x="0" s="1"/>
        <i x="1"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il_Type" xr10:uid="{80D1D996-ABBF-4959-B401-192F066092BD}" sourceName="Soil_Type">
  <pivotTables>
    <pivotTable tabId="3" name="PivotTable47"/>
  </pivotTables>
  <data>
    <tabular pivotCacheId="388714151">
      <items count="5">
        <i x="3" s="1"/>
        <i x="0" s="1"/>
        <i x="4" s="1"/>
        <i x="2"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rrigation_Type" xr10:uid="{32468B98-B877-40B5-B8BA-FFA57E6EE365}" cache="Slicer_Irrigation_Type" caption="Irrigation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FCACEB08-224D-40BC-8376-E2D7D2E46ADD}" cache="Slicer_Season" caption="Season" rowHeight="234950"/>
  <slicer name="Crop_Type 1" xr10:uid="{F8D2731C-3E2B-439A-8362-DEC66510FC35}" cache="Slicer_Crop_Type" caption="Crop_Type" rowHeight="234950"/>
  <slicer name="Irrigation_Type 1" xr10:uid="{689D37CF-06A8-43FF-B921-700F09BA2E84}" cache="Slicer_Irrigation_Type" caption="Irrigation_Type" rowHeight="234950"/>
  <slicer name="Soil_Type 1" xr10:uid="{F59331BD-49CC-43B6-B5F7-E2D33897FD5E}" cache="Slicer_Soil_Type" caption="Soil_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BAF9E-3B8C-4D6C-995C-24677AF134A7}">
  <dimension ref="A1:J51"/>
  <sheetViews>
    <sheetView workbookViewId="0">
      <selection activeCell="E20" sqref="E20"/>
    </sheetView>
  </sheetViews>
  <sheetFormatPr defaultRowHeight="14.4" x14ac:dyDescent="0.3"/>
  <cols>
    <col min="2" max="2" width="15.21875" customWidth="1"/>
    <col min="3" max="3" width="17" customWidth="1"/>
    <col min="4" max="4" width="18.6640625" customWidth="1"/>
    <col min="5" max="5" width="21.44140625" customWidth="1"/>
    <col min="6" max="6" width="18.6640625" customWidth="1"/>
    <col min="7" max="7" width="14.77734375" customWidth="1"/>
    <col min="8" max="8" width="14.6640625" customWidth="1"/>
    <col min="10" max="10" width="16.5546875" customWidth="1"/>
    <col min="11" max="11" width="20.44140625"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v>329.4</v>
      </c>
      <c r="D2" t="s">
        <v>12</v>
      </c>
      <c r="E2">
        <v>8.14</v>
      </c>
      <c r="F2">
        <v>2.21</v>
      </c>
      <c r="G2">
        <v>14.44</v>
      </c>
      <c r="H2" t="s">
        <v>13</v>
      </c>
      <c r="I2" t="s">
        <v>14</v>
      </c>
      <c r="J2">
        <v>76648.2</v>
      </c>
    </row>
    <row r="3" spans="1:10" x14ac:dyDescent="0.3">
      <c r="A3" t="s">
        <v>15</v>
      </c>
      <c r="B3" t="s">
        <v>16</v>
      </c>
      <c r="C3">
        <v>18.670000000000002</v>
      </c>
      <c r="D3" t="s">
        <v>17</v>
      </c>
      <c r="E3">
        <v>4.7699999999999996</v>
      </c>
      <c r="F3">
        <v>4.3600000000000003</v>
      </c>
      <c r="G3">
        <v>42.91</v>
      </c>
      <c r="H3" t="s">
        <v>18</v>
      </c>
      <c r="I3" t="s">
        <v>14</v>
      </c>
      <c r="J3">
        <v>68725.539999999994</v>
      </c>
    </row>
    <row r="4" spans="1:10" x14ac:dyDescent="0.3">
      <c r="A4" t="s">
        <v>19</v>
      </c>
      <c r="B4" t="s">
        <v>20</v>
      </c>
      <c r="C4">
        <v>306.02999999999997</v>
      </c>
      <c r="D4" t="s">
        <v>21</v>
      </c>
      <c r="E4">
        <v>2.91</v>
      </c>
      <c r="F4">
        <v>0.56000000000000005</v>
      </c>
      <c r="G4">
        <v>33.44</v>
      </c>
      <c r="H4" t="s">
        <v>22</v>
      </c>
      <c r="I4" t="s">
        <v>14</v>
      </c>
      <c r="J4">
        <v>75538.559999999998</v>
      </c>
    </row>
    <row r="5" spans="1:10" x14ac:dyDescent="0.3">
      <c r="A5" t="s">
        <v>23</v>
      </c>
      <c r="B5" t="s">
        <v>24</v>
      </c>
      <c r="C5">
        <v>380.21</v>
      </c>
      <c r="D5" t="s">
        <v>25</v>
      </c>
      <c r="E5">
        <v>3.32</v>
      </c>
      <c r="F5">
        <v>4.3499999999999996</v>
      </c>
      <c r="G5">
        <v>34.08</v>
      </c>
      <c r="H5" t="s">
        <v>22</v>
      </c>
      <c r="I5" t="s">
        <v>26</v>
      </c>
      <c r="J5">
        <v>45401.23</v>
      </c>
    </row>
    <row r="6" spans="1:10" x14ac:dyDescent="0.3">
      <c r="A6" t="s">
        <v>27</v>
      </c>
      <c r="B6" t="s">
        <v>24</v>
      </c>
      <c r="C6">
        <v>135.56</v>
      </c>
      <c r="D6" t="s">
        <v>12</v>
      </c>
      <c r="E6">
        <v>8.33</v>
      </c>
      <c r="F6">
        <v>4.4800000000000004</v>
      </c>
      <c r="G6">
        <v>43.28</v>
      </c>
      <c r="H6" t="s">
        <v>28</v>
      </c>
      <c r="I6" t="s">
        <v>26</v>
      </c>
      <c r="J6">
        <v>93718.69</v>
      </c>
    </row>
    <row r="7" spans="1:10" x14ac:dyDescent="0.3">
      <c r="A7" t="s">
        <v>29</v>
      </c>
      <c r="B7" t="s">
        <v>20</v>
      </c>
      <c r="C7">
        <v>12.5</v>
      </c>
      <c r="D7" t="s">
        <v>12</v>
      </c>
      <c r="E7">
        <v>6.42</v>
      </c>
      <c r="F7">
        <v>2.25</v>
      </c>
      <c r="G7">
        <v>38.18</v>
      </c>
      <c r="H7" t="s">
        <v>13</v>
      </c>
      <c r="I7" t="s">
        <v>26</v>
      </c>
      <c r="J7">
        <v>46487.98</v>
      </c>
    </row>
    <row r="8" spans="1:10" x14ac:dyDescent="0.3">
      <c r="A8" t="s">
        <v>30</v>
      </c>
      <c r="B8" t="s">
        <v>31</v>
      </c>
      <c r="C8">
        <v>360.06</v>
      </c>
      <c r="D8" t="s">
        <v>32</v>
      </c>
      <c r="E8">
        <v>1.83</v>
      </c>
      <c r="F8">
        <v>2.37</v>
      </c>
      <c r="G8">
        <v>44.93</v>
      </c>
      <c r="H8" t="s">
        <v>33</v>
      </c>
      <c r="I8" t="s">
        <v>34</v>
      </c>
      <c r="J8">
        <v>40583.57</v>
      </c>
    </row>
    <row r="9" spans="1:10" x14ac:dyDescent="0.3">
      <c r="A9" t="s">
        <v>35</v>
      </c>
      <c r="B9" t="s">
        <v>36</v>
      </c>
      <c r="C9">
        <v>464.6</v>
      </c>
      <c r="D9" t="s">
        <v>32</v>
      </c>
      <c r="E9">
        <v>5.18</v>
      </c>
      <c r="F9">
        <v>0.91</v>
      </c>
      <c r="G9">
        <v>4.2300000000000004</v>
      </c>
      <c r="H9" t="s">
        <v>22</v>
      </c>
      <c r="I9" t="s">
        <v>14</v>
      </c>
      <c r="J9">
        <v>9392.3799999999992</v>
      </c>
    </row>
    <row r="10" spans="1:10" x14ac:dyDescent="0.3">
      <c r="A10" t="s">
        <v>37</v>
      </c>
      <c r="B10" t="s">
        <v>38</v>
      </c>
      <c r="C10">
        <v>389.37</v>
      </c>
      <c r="D10" t="s">
        <v>32</v>
      </c>
      <c r="E10">
        <v>0.56999999999999995</v>
      </c>
      <c r="F10">
        <v>4.93</v>
      </c>
      <c r="G10">
        <v>3.86</v>
      </c>
      <c r="H10" t="s">
        <v>18</v>
      </c>
      <c r="I10" t="s">
        <v>34</v>
      </c>
      <c r="J10">
        <v>60202.14</v>
      </c>
    </row>
    <row r="11" spans="1:10" x14ac:dyDescent="0.3">
      <c r="A11" t="s">
        <v>39</v>
      </c>
      <c r="B11" t="s">
        <v>31</v>
      </c>
      <c r="C11">
        <v>184.37</v>
      </c>
      <c r="D11" t="s">
        <v>32</v>
      </c>
      <c r="E11">
        <v>2.1800000000000002</v>
      </c>
      <c r="F11">
        <v>2.67</v>
      </c>
      <c r="G11">
        <v>17.25</v>
      </c>
      <c r="H11" t="s">
        <v>33</v>
      </c>
      <c r="I11" t="s">
        <v>14</v>
      </c>
      <c r="J11">
        <v>90922.15</v>
      </c>
    </row>
    <row r="12" spans="1:10" x14ac:dyDescent="0.3">
      <c r="A12" t="s">
        <v>40</v>
      </c>
      <c r="B12" t="s">
        <v>36</v>
      </c>
      <c r="C12">
        <v>279.95</v>
      </c>
      <c r="D12" t="s">
        <v>32</v>
      </c>
      <c r="E12">
        <v>8.02</v>
      </c>
      <c r="F12">
        <v>1.24</v>
      </c>
      <c r="G12">
        <v>32.85</v>
      </c>
      <c r="H12" t="s">
        <v>28</v>
      </c>
      <c r="I12" t="s">
        <v>26</v>
      </c>
      <c r="J12">
        <v>5869.75</v>
      </c>
    </row>
    <row r="13" spans="1:10" x14ac:dyDescent="0.3">
      <c r="A13" t="s">
        <v>41</v>
      </c>
      <c r="B13" t="s">
        <v>20</v>
      </c>
      <c r="C13">
        <v>145.32</v>
      </c>
      <c r="D13" t="s">
        <v>21</v>
      </c>
      <c r="E13">
        <v>3.01</v>
      </c>
      <c r="F13">
        <v>2.27</v>
      </c>
      <c r="G13">
        <v>8.08</v>
      </c>
      <c r="H13" t="s">
        <v>28</v>
      </c>
      <c r="I13" t="s">
        <v>14</v>
      </c>
      <c r="J13">
        <v>88976.51</v>
      </c>
    </row>
    <row r="14" spans="1:10" x14ac:dyDescent="0.3">
      <c r="A14" t="s">
        <v>42</v>
      </c>
      <c r="B14" t="s">
        <v>43</v>
      </c>
      <c r="C14">
        <v>329.1</v>
      </c>
      <c r="D14" t="s">
        <v>32</v>
      </c>
      <c r="E14">
        <v>5.26</v>
      </c>
      <c r="F14">
        <v>0.83</v>
      </c>
      <c r="G14">
        <v>5.44</v>
      </c>
      <c r="H14" t="s">
        <v>28</v>
      </c>
      <c r="I14" t="s">
        <v>26</v>
      </c>
      <c r="J14">
        <v>45922.35</v>
      </c>
    </row>
    <row r="15" spans="1:10" x14ac:dyDescent="0.3">
      <c r="A15" t="s">
        <v>44</v>
      </c>
      <c r="B15" t="s">
        <v>36</v>
      </c>
      <c r="C15">
        <v>246.02</v>
      </c>
      <c r="D15" t="s">
        <v>21</v>
      </c>
      <c r="E15">
        <v>1.01</v>
      </c>
      <c r="F15">
        <v>3.45</v>
      </c>
      <c r="G15">
        <v>11.38</v>
      </c>
      <c r="H15" t="s">
        <v>33</v>
      </c>
      <c r="I15" t="s">
        <v>34</v>
      </c>
      <c r="J15">
        <v>71953.14</v>
      </c>
    </row>
    <row r="16" spans="1:10" x14ac:dyDescent="0.3">
      <c r="A16" t="s">
        <v>45</v>
      </c>
      <c r="B16" t="s">
        <v>20</v>
      </c>
      <c r="C16">
        <v>305.14999999999998</v>
      </c>
      <c r="D16" t="s">
        <v>25</v>
      </c>
      <c r="E16">
        <v>5.39</v>
      </c>
      <c r="F16">
        <v>2.15</v>
      </c>
      <c r="G16">
        <v>28.77</v>
      </c>
      <c r="H16" t="s">
        <v>18</v>
      </c>
      <c r="I16" t="s">
        <v>14</v>
      </c>
      <c r="J16">
        <v>33615.769999999997</v>
      </c>
    </row>
    <row r="17" spans="1:10" x14ac:dyDescent="0.3">
      <c r="A17" t="s">
        <v>46</v>
      </c>
      <c r="B17" t="s">
        <v>47</v>
      </c>
      <c r="C17">
        <v>60.22</v>
      </c>
      <c r="D17" t="s">
        <v>21</v>
      </c>
      <c r="E17">
        <v>2.19</v>
      </c>
      <c r="F17">
        <v>0.35</v>
      </c>
      <c r="G17">
        <v>16.03</v>
      </c>
      <c r="H17" t="s">
        <v>33</v>
      </c>
      <c r="I17" t="s">
        <v>26</v>
      </c>
      <c r="J17">
        <v>25132.48</v>
      </c>
    </row>
    <row r="18" spans="1:10" x14ac:dyDescent="0.3">
      <c r="A18" t="s">
        <v>48</v>
      </c>
      <c r="B18" t="s">
        <v>16</v>
      </c>
      <c r="C18">
        <v>284.01</v>
      </c>
      <c r="D18" t="s">
        <v>17</v>
      </c>
      <c r="E18">
        <v>5.89</v>
      </c>
      <c r="F18">
        <v>0.81</v>
      </c>
      <c r="G18">
        <v>47.7</v>
      </c>
      <c r="H18" t="s">
        <v>13</v>
      </c>
      <c r="I18" t="s">
        <v>26</v>
      </c>
      <c r="J18">
        <v>88301.46</v>
      </c>
    </row>
    <row r="19" spans="1:10" x14ac:dyDescent="0.3">
      <c r="A19" t="s">
        <v>49</v>
      </c>
      <c r="B19" t="s">
        <v>38</v>
      </c>
      <c r="C19">
        <v>128.22999999999999</v>
      </c>
      <c r="D19" t="s">
        <v>25</v>
      </c>
      <c r="E19">
        <v>4.91</v>
      </c>
      <c r="F19">
        <v>0.77</v>
      </c>
      <c r="G19">
        <v>16.670000000000002</v>
      </c>
      <c r="H19" t="s">
        <v>13</v>
      </c>
      <c r="I19" t="s">
        <v>34</v>
      </c>
      <c r="J19">
        <v>18660.03</v>
      </c>
    </row>
    <row r="20" spans="1:10" x14ac:dyDescent="0.3">
      <c r="A20" t="s">
        <v>50</v>
      </c>
      <c r="B20" t="s">
        <v>38</v>
      </c>
      <c r="C20">
        <v>460.93</v>
      </c>
      <c r="D20" t="s">
        <v>32</v>
      </c>
      <c r="E20">
        <v>1.0900000000000001</v>
      </c>
      <c r="F20">
        <v>1.31</v>
      </c>
      <c r="G20">
        <v>39.96</v>
      </c>
      <c r="H20" t="s">
        <v>33</v>
      </c>
      <c r="I20" t="s">
        <v>26</v>
      </c>
      <c r="J20">
        <v>54314.28</v>
      </c>
    </row>
    <row r="21" spans="1:10" x14ac:dyDescent="0.3">
      <c r="A21" t="s">
        <v>51</v>
      </c>
      <c r="B21" t="s">
        <v>47</v>
      </c>
      <c r="C21">
        <v>58.85</v>
      </c>
      <c r="D21" t="s">
        <v>12</v>
      </c>
      <c r="E21">
        <v>3.61</v>
      </c>
      <c r="F21">
        <v>3.32</v>
      </c>
      <c r="G21">
        <v>18.850000000000001</v>
      </c>
      <c r="H21" t="s">
        <v>33</v>
      </c>
      <c r="I21" t="s">
        <v>14</v>
      </c>
      <c r="J21">
        <v>92481.89</v>
      </c>
    </row>
    <row r="22" spans="1:10" x14ac:dyDescent="0.3">
      <c r="A22" t="s">
        <v>52</v>
      </c>
      <c r="B22" t="s">
        <v>11</v>
      </c>
      <c r="C22">
        <v>377.05</v>
      </c>
      <c r="D22" t="s">
        <v>32</v>
      </c>
      <c r="E22">
        <v>5.95</v>
      </c>
      <c r="F22">
        <v>0.91</v>
      </c>
      <c r="G22">
        <v>29.17</v>
      </c>
      <c r="H22" t="s">
        <v>28</v>
      </c>
      <c r="I22" t="s">
        <v>34</v>
      </c>
      <c r="J22">
        <v>26743.55</v>
      </c>
    </row>
    <row r="23" spans="1:10" x14ac:dyDescent="0.3">
      <c r="A23" t="s">
        <v>53</v>
      </c>
      <c r="B23" t="s">
        <v>43</v>
      </c>
      <c r="C23">
        <v>92.67</v>
      </c>
      <c r="D23" t="s">
        <v>21</v>
      </c>
      <c r="E23">
        <v>6.95</v>
      </c>
      <c r="F23">
        <v>3.64</v>
      </c>
      <c r="G23">
        <v>30.7</v>
      </c>
      <c r="H23" t="s">
        <v>28</v>
      </c>
      <c r="I23" t="s">
        <v>34</v>
      </c>
      <c r="J23">
        <v>42874.34</v>
      </c>
    </row>
    <row r="24" spans="1:10" x14ac:dyDescent="0.3">
      <c r="A24" t="s">
        <v>54</v>
      </c>
      <c r="B24" t="s">
        <v>55</v>
      </c>
      <c r="C24">
        <v>15.67</v>
      </c>
      <c r="D24" t="s">
        <v>32</v>
      </c>
      <c r="E24">
        <v>9.9499999999999993</v>
      </c>
      <c r="F24">
        <v>2.99</v>
      </c>
      <c r="G24">
        <v>18.13</v>
      </c>
      <c r="H24" t="s">
        <v>13</v>
      </c>
      <c r="I24" t="s">
        <v>26</v>
      </c>
      <c r="J24">
        <v>41862.86</v>
      </c>
    </row>
    <row r="25" spans="1:10" x14ac:dyDescent="0.3">
      <c r="A25" t="s">
        <v>56</v>
      </c>
      <c r="B25" t="s">
        <v>36</v>
      </c>
      <c r="C25">
        <v>483.88</v>
      </c>
      <c r="D25" t="s">
        <v>32</v>
      </c>
      <c r="E25">
        <v>6.31</v>
      </c>
      <c r="F25">
        <v>2.29</v>
      </c>
      <c r="G25">
        <v>34.46</v>
      </c>
      <c r="H25" t="s">
        <v>28</v>
      </c>
      <c r="I25" t="s">
        <v>26</v>
      </c>
      <c r="J25">
        <v>61383.07</v>
      </c>
    </row>
    <row r="26" spans="1:10" x14ac:dyDescent="0.3">
      <c r="A26" t="s">
        <v>57</v>
      </c>
      <c r="B26" t="s">
        <v>47</v>
      </c>
      <c r="C26">
        <v>75.64</v>
      </c>
      <c r="D26" t="s">
        <v>21</v>
      </c>
      <c r="E26">
        <v>6.69</v>
      </c>
      <c r="F26">
        <v>3.57</v>
      </c>
      <c r="G26">
        <v>6.14</v>
      </c>
      <c r="H26" t="s">
        <v>22</v>
      </c>
      <c r="I26" t="s">
        <v>26</v>
      </c>
      <c r="J26">
        <v>43847.82</v>
      </c>
    </row>
    <row r="27" spans="1:10" x14ac:dyDescent="0.3">
      <c r="A27" t="s">
        <v>58</v>
      </c>
      <c r="B27" t="s">
        <v>43</v>
      </c>
      <c r="C27">
        <v>162.28</v>
      </c>
      <c r="D27" t="s">
        <v>21</v>
      </c>
      <c r="E27">
        <v>5.85</v>
      </c>
      <c r="F27">
        <v>2.42</v>
      </c>
      <c r="G27">
        <v>24.63</v>
      </c>
      <c r="H27" t="s">
        <v>13</v>
      </c>
      <c r="I27" t="s">
        <v>34</v>
      </c>
      <c r="J27">
        <v>65838.399999999994</v>
      </c>
    </row>
    <row r="28" spans="1:10" x14ac:dyDescent="0.3">
      <c r="A28" t="s">
        <v>59</v>
      </c>
      <c r="B28" t="s">
        <v>11</v>
      </c>
      <c r="C28">
        <v>375.1</v>
      </c>
      <c r="D28" t="s">
        <v>25</v>
      </c>
      <c r="E28">
        <v>0.5</v>
      </c>
      <c r="F28">
        <v>4.76</v>
      </c>
      <c r="G28">
        <v>22.51</v>
      </c>
      <c r="H28" t="s">
        <v>28</v>
      </c>
      <c r="I28" t="s">
        <v>14</v>
      </c>
      <c r="J28">
        <v>39362.44</v>
      </c>
    </row>
    <row r="29" spans="1:10" x14ac:dyDescent="0.3">
      <c r="A29" t="s">
        <v>60</v>
      </c>
      <c r="B29" t="s">
        <v>24</v>
      </c>
      <c r="C29">
        <v>256.19</v>
      </c>
      <c r="D29" t="s">
        <v>21</v>
      </c>
      <c r="E29">
        <v>7.32</v>
      </c>
      <c r="F29">
        <v>2.19</v>
      </c>
      <c r="G29">
        <v>48.02</v>
      </c>
      <c r="H29" t="s">
        <v>22</v>
      </c>
      <c r="I29" t="s">
        <v>34</v>
      </c>
      <c r="J29">
        <v>81313.039999999994</v>
      </c>
    </row>
    <row r="30" spans="1:10" x14ac:dyDescent="0.3">
      <c r="A30" t="s">
        <v>61</v>
      </c>
      <c r="B30" t="s">
        <v>43</v>
      </c>
      <c r="C30">
        <v>288.52</v>
      </c>
      <c r="D30" t="s">
        <v>17</v>
      </c>
      <c r="E30">
        <v>1.79</v>
      </c>
      <c r="F30">
        <v>4.78</v>
      </c>
      <c r="G30">
        <v>36.9</v>
      </c>
      <c r="H30" t="s">
        <v>22</v>
      </c>
      <c r="I30" t="s">
        <v>26</v>
      </c>
      <c r="J30">
        <v>23208.04</v>
      </c>
    </row>
    <row r="31" spans="1:10" x14ac:dyDescent="0.3">
      <c r="A31" t="s">
        <v>62</v>
      </c>
      <c r="B31" t="s">
        <v>55</v>
      </c>
      <c r="C31">
        <v>286.52</v>
      </c>
      <c r="D31" t="s">
        <v>25</v>
      </c>
      <c r="E31">
        <v>8.91</v>
      </c>
      <c r="F31">
        <v>0.77</v>
      </c>
      <c r="G31">
        <v>30.5</v>
      </c>
      <c r="H31" t="s">
        <v>13</v>
      </c>
      <c r="I31" t="s">
        <v>26</v>
      </c>
      <c r="J31">
        <v>93407.38</v>
      </c>
    </row>
    <row r="32" spans="1:10" x14ac:dyDescent="0.3">
      <c r="A32" t="s">
        <v>63</v>
      </c>
      <c r="B32" t="s">
        <v>47</v>
      </c>
      <c r="C32">
        <v>136.16</v>
      </c>
      <c r="D32" t="s">
        <v>21</v>
      </c>
      <c r="E32">
        <v>5.89</v>
      </c>
      <c r="F32">
        <v>1.36</v>
      </c>
      <c r="G32">
        <v>11.86</v>
      </c>
      <c r="H32" t="s">
        <v>28</v>
      </c>
      <c r="I32" t="s">
        <v>26</v>
      </c>
      <c r="J32">
        <v>30098.35</v>
      </c>
    </row>
    <row r="33" spans="1:10" x14ac:dyDescent="0.3">
      <c r="A33" t="s">
        <v>64</v>
      </c>
      <c r="B33" t="s">
        <v>16</v>
      </c>
      <c r="C33">
        <v>350.42</v>
      </c>
      <c r="D33" t="s">
        <v>21</v>
      </c>
      <c r="E33">
        <v>8.4</v>
      </c>
      <c r="F33">
        <v>2.94</v>
      </c>
      <c r="G33">
        <v>24.34</v>
      </c>
      <c r="H33" t="s">
        <v>28</v>
      </c>
      <c r="I33" t="s">
        <v>34</v>
      </c>
      <c r="J33">
        <v>71580.87</v>
      </c>
    </row>
    <row r="34" spans="1:10" x14ac:dyDescent="0.3">
      <c r="A34" t="s">
        <v>65</v>
      </c>
      <c r="B34" t="s">
        <v>47</v>
      </c>
      <c r="C34">
        <v>446.76</v>
      </c>
      <c r="D34" t="s">
        <v>32</v>
      </c>
      <c r="E34">
        <v>7.79</v>
      </c>
      <c r="F34">
        <v>0.96</v>
      </c>
      <c r="G34">
        <v>46.47</v>
      </c>
      <c r="H34" t="s">
        <v>13</v>
      </c>
      <c r="I34" t="s">
        <v>26</v>
      </c>
      <c r="J34">
        <v>93656.06</v>
      </c>
    </row>
    <row r="35" spans="1:10" x14ac:dyDescent="0.3">
      <c r="A35" t="s">
        <v>66</v>
      </c>
      <c r="B35" t="s">
        <v>24</v>
      </c>
      <c r="C35">
        <v>264.12</v>
      </c>
      <c r="D35" t="s">
        <v>32</v>
      </c>
      <c r="E35">
        <v>4.75</v>
      </c>
      <c r="F35">
        <v>4.79</v>
      </c>
      <c r="G35">
        <v>12.92</v>
      </c>
      <c r="H35" t="s">
        <v>13</v>
      </c>
      <c r="I35" t="s">
        <v>34</v>
      </c>
      <c r="J35">
        <v>92745.01</v>
      </c>
    </row>
    <row r="36" spans="1:10" x14ac:dyDescent="0.3">
      <c r="A36" t="s">
        <v>67</v>
      </c>
      <c r="B36" t="s">
        <v>31</v>
      </c>
      <c r="C36">
        <v>266.02999999999997</v>
      </c>
      <c r="D36" t="s">
        <v>32</v>
      </c>
      <c r="E36">
        <v>8.57</v>
      </c>
      <c r="F36">
        <v>1.35</v>
      </c>
      <c r="G36">
        <v>34.450000000000003</v>
      </c>
      <c r="H36" t="s">
        <v>22</v>
      </c>
      <c r="I36" t="s">
        <v>26</v>
      </c>
      <c r="J36">
        <v>43610.21</v>
      </c>
    </row>
    <row r="37" spans="1:10" x14ac:dyDescent="0.3">
      <c r="A37" t="s">
        <v>68</v>
      </c>
      <c r="B37" t="s">
        <v>11</v>
      </c>
      <c r="C37">
        <v>446.16</v>
      </c>
      <c r="D37" t="s">
        <v>17</v>
      </c>
      <c r="E37">
        <v>4.3499999999999996</v>
      </c>
      <c r="F37">
        <v>3.47</v>
      </c>
      <c r="G37">
        <v>12.53</v>
      </c>
      <c r="H37" t="s">
        <v>13</v>
      </c>
      <c r="I37" t="s">
        <v>26</v>
      </c>
      <c r="J37">
        <v>38874.28</v>
      </c>
    </row>
    <row r="38" spans="1:10" x14ac:dyDescent="0.3">
      <c r="A38" t="s">
        <v>69</v>
      </c>
      <c r="B38" t="s">
        <v>31</v>
      </c>
      <c r="C38">
        <v>156.1</v>
      </c>
      <c r="D38" t="s">
        <v>17</v>
      </c>
      <c r="E38">
        <v>1.18</v>
      </c>
      <c r="F38">
        <v>4.43</v>
      </c>
      <c r="G38">
        <v>40.15</v>
      </c>
      <c r="H38" t="s">
        <v>13</v>
      </c>
      <c r="I38" t="s">
        <v>26</v>
      </c>
      <c r="J38">
        <v>73646.55</v>
      </c>
    </row>
    <row r="39" spans="1:10" x14ac:dyDescent="0.3">
      <c r="A39" t="s">
        <v>70</v>
      </c>
      <c r="B39" t="s">
        <v>47</v>
      </c>
      <c r="C39">
        <v>431.22</v>
      </c>
      <c r="D39" t="s">
        <v>32</v>
      </c>
      <c r="E39">
        <v>5.71</v>
      </c>
      <c r="F39">
        <v>3.18</v>
      </c>
      <c r="G39">
        <v>45.95</v>
      </c>
      <c r="H39" t="s">
        <v>22</v>
      </c>
      <c r="I39" t="s">
        <v>14</v>
      </c>
      <c r="J39">
        <v>36065.94</v>
      </c>
    </row>
    <row r="40" spans="1:10" x14ac:dyDescent="0.3">
      <c r="A40" t="s">
        <v>71</v>
      </c>
      <c r="B40" t="s">
        <v>11</v>
      </c>
      <c r="C40">
        <v>220.48</v>
      </c>
      <c r="D40" t="s">
        <v>21</v>
      </c>
      <c r="E40">
        <v>9.9600000000000009</v>
      </c>
      <c r="F40">
        <v>2.91</v>
      </c>
      <c r="G40">
        <v>10.53</v>
      </c>
      <c r="H40" t="s">
        <v>28</v>
      </c>
      <c r="I40" t="s">
        <v>26</v>
      </c>
      <c r="J40">
        <v>82549.03</v>
      </c>
    </row>
    <row r="41" spans="1:10" x14ac:dyDescent="0.3">
      <c r="A41" t="s">
        <v>72</v>
      </c>
      <c r="B41" t="s">
        <v>11</v>
      </c>
      <c r="C41">
        <v>166.82</v>
      </c>
      <c r="D41" t="s">
        <v>25</v>
      </c>
      <c r="E41">
        <v>2.85</v>
      </c>
      <c r="F41">
        <v>1.36</v>
      </c>
      <c r="G41">
        <v>46.19</v>
      </c>
      <c r="H41" t="s">
        <v>33</v>
      </c>
      <c r="I41" t="s">
        <v>26</v>
      </c>
      <c r="J41">
        <v>12007.7</v>
      </c>
    </row>
    <row r="42" spans="1:10" x14ac:dyDescent="0.3">
      <c r="A42" t="s">
        <v>73</v>
      </c>
      <c r="B42" t="s">
        <v>36</v>
      </c>
      <c r="C42">
        <v>370.79</v>
      </c>
      <c r="D42" t="s">
        <v>21</v>
      </c>
      <c r="E42">
        <v>8.18</v>
      </c>
      <c r="F42">
        <v>4.99</v>
      </c>
      <c r="G42">
        <v>35.01</v>
      </c>
      <c r="H42" t="s">
        <v>33</v>
      </c>
      <c r="I42" t="s">
        <v>14</v>
      </c>
      <c r="J42">
        <v>85208.71</v>
      </c>
    </row>
    <row r="43" spans="1:10" x14ac:dyDescent="0.3">
      <c r="A43" t="s">
        <v>74</v>
      </c>
      <c r="B43" t="s">
        <v>20</v>
      </c>
      <c r="C43">
        <v>418.99</v>
      </c>
      <c r="D43" t="s">
        <v>12</v>
      </c>
      <c r="E43">
        <v>0.78</v>
      </c>
      <c r="F43">
        <v>0.57999999999999996</v>
      </c>
      <c r="G43">
        <v>26.29</v>
      </c>
      <c r="H43" t="s">
        <v>28</v>
      </c>
      <c r="I43" t="s">
        <v>26</v>
      </c>
      <c r="J43">
        <v>33705.69</v>
      </c>
    </row>
    <row r="44" spans="1:10" x14ac:dyDescent="0.3">
      <c r="A44" t="s">
        <v>75</v>
      </c>
      <c r="B44" t="s">
        <v>11</v>
      </c>
      <c r="C44">
        <v>78.790000000000006</v>
      </c>
      <c r="D44" t="s">
        <v>21</v>
      </c>
      <c r="E44">
        <v>1.35</v>
      </c>
      <c r="F44">
        <v>3</v>
      </c>
      <c r="G44">
        <v>11.45</v>
      </c>
      <c r="H44" t="s">
        <v>33</v>
      </c>
      <c r="I44" t="s">
        <v>26</v>
      </c>
      <c r="J44">
        <v>94754.73</v>
      </c>
    </row>
    <row r="45" spans="1:10" x14ac:dyDescent="0.3">
      <c r="A45" t="s">
        <v>76</v>
      </c>
      <c r="B45" t="s">
        <v>31</v>
      </c>
      <c r="C45">
        <v>84.12</v>
      </c>
      <c r="D45" t="s">
        <v>17</v>
      </c>
      <c r="E45">
        <v>4.6399999999999997</v>
      </c>
      <c r="F45">
        <v>2.5299999999999998</v>
      </c>
      <c r="G45">
        <v>24.77</v>
      </c>
      <c r="H45" t="s">
        <v>33</v>
      </c>
      <c r="I45" t="s">
        <v>34</v>
      </c>
      <c r="J45">
        <v>40614.400000000001</v>
      </c>
    </row>
    <row r="46" spans="1:10" x14ac:dyDescent="0.3">
      <c r="A46" t="s">
        <v>77</v>
      </c>
      <c r="B46" t="s">
        <v>24</v>
      </c>
      <c r="C46">
        <v>326.69</v>
      </c>
      <c r="D46" t="s">
        <v>12</v>
      </c>
      <c r="E46">
        <v>5.24</v>
      </c>
      <c r="F46">
        <v>0.55000000000000004</v>
      </c>
      <c r="G46">
        <v>18.34</v>
      </c>
      <c r="H46" t="s">
        <v>18</v>
      </c>
      <c r="I46" t="s">
        <v>14</v>
      </c>
      <c r="J46">
        <v>37466.11</v>
      </c>
    </row>
    <row r="47" spans="1:10" x14ac:dyDescent="0.3">
      <c r="A47" t="s">
        <v>78</v>
      </c>
      <c r="B47" t="s">
        <v>16</v>
      </c>
      <c r="C47">
        <v>112.8</v>
      </c>
      <c r="D47" t="s">
        <v>12</v>
      </c>
      <c r="E47">
        <v>1.8</v>
      </c>
      <c r="F47">
        <v>1.01</v>
      </c>
      <c r="G47">
        <v>31.57</v>
      </c>
      <c r="H47" t="s">
        <v>28</v>
      </c>
      <c r="I47" t="s">
        <v>14</v>
      </c>
      <c r="J47">
        <v>79966.100000000006</v>
      </c>
    </row>
    <row r="48" spans="1:10" x14ac:dyDescent="0.3">
      <c r="A48" t="s">
        <v>79</v>
      </c>
      <c r="B48" t="s">
        <v>55</v>
      </c>
      <c r="C48">
        <v>347.66</v>
      </c>
      <c r="D48" t="s">
        <v>32</v>
      </c>
      <c r="E48">
        <v>3.86</v>
      </c>
      <c r="F48">
        <v>2.68</v>
      </c>
      <c r="G48">
        <v>31.47</v>
      </c>
      <c r="H48" t="s">
        <v>33</v>
      </c>
      <c r="I48" t="s">
        <v>14</v>
      </c>
      <c r="J48">
        <v>86989.88</v>
      </c>
    </row>
    <row r="49" spans="1:10" x14ac:dyDescent="0.3">
      <c r="A49" t="s">
        <v>80</v>
      </c>
      <c r="B49" t="s">
        <v>55</v>
      </c>
      <c r="C49">
        <v>77.39</v>
      </c>
      <c r="D49" t="s">
        <v>12</v>
      </c>
      <c r="E49">
        <v>9.34</v>
      </c>
      <c r="F49">
        <v>3</v>
      </c>
      <c r="G49">
        <v>20.53</v>
      </c>
      <c r="H49" t="s">
        <v>22</v>
      </c>
      <c r="I49" t="s">
        <v>26</v>
      </c>
      <c r="J49">
        <v>5874.17</v>
      </c>
    </row>
    <row r="50" spans="1:10" x14ac:dyDescent="0.3">
      <c r="A50" t="s">
        <v>81</v>
      </c>
      <c r="B50" t="s">
        <v>47</v>
      </c>
      <c r="C50">
        <v>462.37</v>
      </c>
      <c r="D50" t="s">
        <v>12</v>
      </c>
      <c r="E50">
        <v>2.2999999999999998</v>
      </c>
      <c r="F50">
        <v>0.14000000000000001</v>
      </c>
      <c r="G50">
        <v>39.51</v>
      </c>
      <c r="H50" t="s">
        <v>28</v>
      </c>
      <c r="I50" t="s">
        <v>14</v>
      </c>
      <c r="J50">
        <v>53879.87</v>
      </c>
    </row>
    <row r="51" spans="1:10" x14ac:dyDescent="0.3">
      <c r="A51" t="s">
        <v>82</v>
      </c>
      <c r="B51" t="s">
        <v>24</v>
      </c>
      <c r="C51">
        <v>292.25</v>
      </c>
      <c r="D51" t="s">
        <v>25</v>
      </c>
      <c r="E51">
        <v>4.08</v>
      </c>
      <c r="F51">
        <v>0.76</v>
      </c>
      <c r="G51">
        <v>45.14</v>
      </c>
      <c r="H51" t="s">
        <v>22</v>
      </c>
      <c r="I51" t="s">
        <v>14</v>
      </c>
      <c r="J51">
        <v>90232.08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04252-7DAA-4206-8C5B-19EF99141500}">
  <dimension ref="A1:J51"/>
  <sheetViews>
    <sheetView workbookViewId="0">
      <selection activeCell="K2" sqref="K2"/>
    </sheetView>
  </sheetViews>
  <sheetFormatPr defaultRowHeight="14.4" x14ac:dyDescent="0.3"/>
  <cols>
    <col min="2" max="2" width="15.21875" customWidth="1"/>
    <col min="3" max="3" width="17" customWidth="1"/>
    <col min="4" max="4" width="18.6640625" customWidth="1"/>
    <col min="5" max="5" width="21.44140625" customWidth="1"/>
    <col min="6" max="6" width="18.6640625" customWidth="1"/>
    <col min="7" max="7" width="14.77734375" customWidth="1"/>
    <col min="8" max="8" width="14.6640625" customWidth="1"/>
    <col min="10" max="10" width="16.5546875" customWidth="1"/>
    <col min="11" max="11" width="20.44140625"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v>329.4</v>
      </c>
      <c r="D2" t="s">
        <v>12</v>
      </c>
      <c r="E2">
        <v>8.14</v>
      </c>
      <c r="F2">
        <v>2.21</v>
      </c>
      <c r="G2">
        <v>14.44</v>
      </c>
      <c r="H2" t="s">
        <v>13</v>
      </c>
      <c r="I2" t="s">
        <v>14</v>
      </c>
      <c r="J2">
        <v>76648.2</v>
      </c>
    </row>
    <row r="3" spans="1:10" x14ac:dyDescent="0.3">
      <c r="A3" t="s">
        <v>15</v>
      </c>
      <c r="B3" t="s">
        <v>16</v>
      </c>
      <c r="C3">
        <v>18.670000000000002</v>
      </c>
      <c r="D3" t="s">
        <v>17</v>
      </c>
      <c r="E3">
        <v>4.7699999999999996</v>
      </c>
      <c r="F3">
        <v>4.3600000000000003</v>
      </c>
      <c r="G3">
        <v>42.91</v>
      </c>
      <c r="H3" t="s">
        <v>18</v>
      </c>
      <c r="I3" t="s">
        <v>14</v>
      </c>
      <c r="J3">
        <v>68725.539999999994</v>
      </c>
    </row>
    <row r="4" spans="1:10" x14ac:dyDescent="0.3">
      <c r="A4" t="s">
        <v>19</v>
      </c>
      <c r="B4" t="s">
        <v>20</v>
      </c>
      <c r="C4">
        <v>306.02999999999997</v>
      </c>
      <c r="D4" t="s">
        <v>21</v>
      </c>
      <c r="E4">
        <v>2.91</v>
      </c>
      <c r="F4">
        <v>0.56000000000000005</v>
      </c>
      <c r="G4">
        <v>33.44</v>
      </c>
      <c r="H4" t="s">
        <v>22</v>
      </c>
      <c r="I4" t="s">
        <v>14</v>
      </c>
      <c r="J4">
        <v>75538.559999999998</v>
      </c>
    </row>
    <row r="5" spans="1:10" x14ac:dyDescent="0.3">
      <c r="A5" t="s">
        <v>23</v>
      </c>
      <c r="B5" t="s">
        <v>24</v>
      </c>
      <c r="C5">
        <v>380.21</v>
      </c>
      <c r="D5" t="s">
        <v>25</v>
      </c>
      <c r="E5">
        <v>3.32</v>
      </c>
      <c r="F5">
        <v>4.3499999999999996</v>
      </c>
      <c r="G5">
        <v>34.08</v>
      </c>
      <c r="H5" t="s">
        <v>22</v>
      </c>
      <c r="I5" t="s">
        <v>26</v>
      </c>
      <c r="J5">
        <v>45401.23</v>
      </c>
    </row>
    <row r="6" spans="1:10" x14ac:dyDescent="0.3">
      <c r="A6" t="s">
        <v>27</v>
      </c>
      <c r="B6" t="s">
        <v>24</v>
      </c>
      <c r="C6">
        <v>135.56</v>
      </c>
      <c r="D6" t="s">
        <v>12</v>
      </c>
      <c r="E6">
        <v>8.33</v>
      </c>
      <c r="F6">
        <v>4.4800000000000004</v>
      </c>
      <c r="G6">
        <v>43.28</v>
      </c>
      <c r="H6" t="s">
        <v>28</v>
      </c>
      <c r="I6" t="s">
        <v>26</v>
      </c>
      <c r="J6">
        <v>93718.69</v>
      </c>
    </row>
    <row r="7" spans="1:10" x14ac:dyDescent="0.3">
      <c r="A7" t="s">
        <v>29</v>
      </c>
      <c r="B7" t="s">
        <v>20</v>
      </c>
      <c r="C7">
        <v>12.5</v>
      </c>
      <c r="D7" t="s">
        <v>12</v>
      </c>
      <c r="E7">
        <v>6.42</v>
      </c>
      <c r="F7">
        <v>2.25</v>
      </c>
      <c r="G7">
        <v>38.18</v>
      </c>
      <c r="H7" t="s">
        <v>13</v>
      </c>
      <c r="I7" t="s">
        <v>26</v>
      </c>
      <c r="J7">
        <v>46487.98</v>
      </c>
    </row>
    <row r="8" spans="1:10" x14ac:dyDescent="0.3">
      <c r="A8" t="s">
        <v>30</v>
      </c>
      <c r="B8" t="s">
        <v>31</v>
      </c>
      <c r="C8">
        <v>360.06</v>
      </c>
      <c r="D8" t="s">
        <v>32</v>
      </c>
      <c r="E8">
        <v>1.83</v>
      </c>
      <c r="F8">
        <v>2.37</v>
      </c>
      <c r="G8">
        <v>44.93</v>
      </c>
      <c r="H8" t="s">
        <v>33</v>
      </c>
      <c r="I8" t="s">
        <v>34</v>
      </c>
      <c r="J8">
        <v>40583.57</v>
      </c>
    </row>
    <row r="9" spans="1:10" x14ac:dyDescent="0.3">
      <c r="A9" t="s">
        <v>35</v>
      </c>
      <c r="B9" t="s">
        <v>36</v>
      </c>
      <c r="C9">
        <v>464.6</v>
      </c>
      <c r="D9" t="s">
        <v>32</v>
      </c>
      <c r="E9">
        <v>5.18</v>
      </c>
      <c r="F9">
        <v>0.91</v>
      </c>
      <c r="G9">
        <v>4.2300000000000004</v>
      </c>
      <c r="H9" t="s">
        <v>22</v>
      </c>
      <c r="I9" t="s">
        <v>14</v>
      </c>
      <c r="J9">
        <v>9392.3799999999992</v>
      </c>
    </row>
    <row r="10" spans="1:10" x14ac:dyDescent="0.3">
      <c r="A10" t="s">
        <v>37</v>
      </c>
      <c r="B10" t="s">
        <v>38</v>
      </c>
      <c r="C10">
        <v>389.37</v>
      </c>
      <c r="D10" t="s">
        <v>32</v>
      </c>
      <c r="E10">
        <v>0.56999999999999995</v>
      </c>
      <c r="F10">
        <v>4.93</v>
      </c>
      <c r="G10">
        <v>3.86</v>
      </c>
      <c r="H10" t="s">
        <v>18</v>
      </c>
      <c r="I10" t="s">
        <v>34</v>
      </c>
      <c r="J10">
        <v>60202.14</v>
      </c>
    </row>
    <row r="11" spans="1:10" x14ac:dyDescent="0.3">
      <c r="A11" t="s">
        <v>39</v>
      </c>
      <c r="B11" t="s">
        <v>31</v>
      </c>
      <c r="C11">
        <v>184.37</v>
      </c>
      <c r="D11" t="s">
        <v>32</v>
      </c>
      <c r="E11">
        <v>2.1800000000000002</v>
      </c>
      <c r="F11">
        <v>2.67</v>
      </c>
      <c r="G11">
        <v>17.25</v>
      </c>
      <c r="H11" t="s">
        <v>33</v>
      </c>
      <c r="I11" t="s">
        <v>14</v>
      </c>
      <c r="J11">
        <v>90922.15</v>
      </c>
    </row>
    <row r="12" spans="1:10" x14ac:dyDescent="0.3">
      <c r="A12" t="s">
        <v>40</v>
      </c>
      <c r="B12" t="s">
        <v>36</v>
      </c>
      <c r="C12">
        <v>279.95</v>
      </c>
      <c r="D12" t="s">
        <v>32</v>
      </c>
      <c r="E12">
        <v>8.02</v>
      </c>
      <c r="F12">
        <v>1.24</v>
      </c>
      <c r="G12">
        <v>32.85</v>
      </c>
      <c r="H12" t="s">
        <v>28</v>
      </c>
      <c r="I12" t="s">
        <v>26</v>
      </c>
      <c r="J12">
        <v>5869.75</v>
      </c>
    </row>
    <row r="13" spans="1:10" x14ac:dyDescent="0.3">
      <c r="A13" t="s">
        <v>41</v>
      </c>
      <c r="B13" t="s">
        <v>20</v>
      </c>
      <c r="C13">
        <v>145.32</v>
      </c>
      <c r="D13" t="s">
        <v>21</v>
      </c>
      <c r="E13">
        <v>3.01</v>
      </c>
      <c r="F13">
        <v>2.27</v>
      </c>
      <c r="G13">
        <v>8.08</v>
      </c>
      <c r="H13" t="s">
        <v>28</v>
      </c>
      <c r="I13" t="s">
        <v>14</v>
      </c>
      <c r="J13">
        <v>88976.51</v>
      </c>
    </row>
    <row r="14" spans="1:10" x14ac:dyDescent="0.3">
      <c r="A14" t="s">
        <v>42</v>
      </c>
      <c r="B14" t="s">
        <v>43</v>
      </c>
      <c r="C14">
        <v>329.1</v>
      </c>
      <c r="D14" t="s">
        <v>32</v>
      </c>
      <c r="E14">
        <v>5.26</v>
      </c>
      <c r="F14">
        <v>0.83</v>
      </c>
      <c r="G14">
        <v>5.44</v>
      </c>
      <c r="H14" t="s">
        <v>28</v>
      </c>
      <c r="I14" t="s">
        <v>26</v>
      </c>
      <c r="J14">
        <v>45922.35</v>
      </c>
    </row>
    <row r="15" spans="1:10" x14ac:dyDescent="0.3">
      <c r="A15" t="s">
        <v>44</v>
      </c>
      <c r="B15" t="s">
        <v>36</v>
      </c>
      <c r="C15">
        <v>246.02</v>
      </c>
      <c r="D15" t="s">
        <v>21</v>
      </c>
      <c r="E15">
        <v>1.01</v>
      </c>
      <c r="F15">
        <v>3.45</v>
      </c>
      <c r="G15">
        <v>11.38</v>
      </c>
      <c r="H15" t="s">
        <v>33</v>
      </c>
      <c r="I15" t="s">
        <v>34</v>
      </c>
      <c r="J15">
        <v>71953.14</v>
      </c>
    </row>
    <row r="16" spans="1:10" x14ac:dyDescent="0.3">
      <c r="A16" t="s">
        <v>45</v>
      </c>
      <c r="B16" t="s">
        <v>20</v>
      </c>
      <c r="C16">
        <v>305.14999999999998</v>
      </c>
      <c r="D16" t="s">
        <v>25</v>
      </c>
      <c r="E16">
        <v>5.39</v>
      </c>
      <c r="F16">
        <v>2.15</v>
      </c>
      <c r="G16">
        <v>28.77</v>
      </c>
      <c r="H16" t="s">
        <v>18</v>
      </c>
      <c r="I16" t="s">
        <v>14</v>
      </c>
      <c r="J16">
        <v>33615.769999999997</v>
      </c>
    </row>
    <row r="17" spans="1:10" x14ac:dyDescent="0.3">
      <c r="A17" t="s">
        <v>46</v>
      </c>
      <c r="B17" t="s">
        <v>47</v>
      </c>
      <c r="C17">
        <v>60.22</v>
      </c>
      <c r="D17" t="s">
        <v>21</v>
      </c>
      <c r="E17">
        <v>2.19</v>
      </c>
      <c r="F17">
        <v>0.35</v>
      </c>
      <c r="G17">
        <v>16.03</v>
      </c>
      <c r="H17" t="s">
        <v>33</v>
      </c>
      <c r="I17" t="s">
        <v>26</v>
      </c>
      <c r="J17">
        <v>25132.48</v>
      </c>
    </row>
    <row r="18" spans="1:10" x14ac:dyDescent="0.3">
      <c r="A18" t="s">
        <v>48</v>
      </c>
      <c r="B18" t="s">
        <v>16</v>
      </c>
      <c r="C18">
        <v>284.01</v>
      </c>
      <c r="D18" t="s">
        <v>17</v>
      </c>
      <c r="E18">
        <v>5.89</v>
      </c>
      <c r="F18">
        <v>0.81</v>
      </c>
      <c r="G18">
        <v>47.7</v>
      </c>
      <c r="H18" t="s">
        <v>13</v>
      </c>
      <c r="I18" t="s">
        <v>26</v>
      </c>
      <c r="J18">
        <v>88301.46</v>
      </c>
    </row>
    <row r="19" spans="1:10" x14ac:dyDescent="0.3">
      <c r="A19" t="s">
        <v>49</v>
      </c>
      <c r="B19" t="s">
        <v>38</v>
      </c>
      <c r="C19">
        <v>128.22999999999999</v>
      </c>
      <c r="D19" t="s">
        <v>25</v>
      </c>
      <c r="E19">
        <v>4.91</v>
      </c>
      <c r="F19">
        <v>0.77</v>
      </c>
      <c r="G19">
        <v>16.670000000000002</v>
      </c>
      <c r="H19" t="s">
        <v>13</v>
      </c>
      <c r="I19" t="s">
        <v>34</v>
      </c>
      <c r="J19">
        <v>18660.03</v>
      </c>
    </row>
    <row r="20" spans="1:10" x14ac:dyDescent="0.3">
      <c r="A20" t="s">
        <v>50</v>
      </c>
      <c r="B20" t="s">
        <v>38</v>
      </c>
      <c r="C20">
        <v>460.93</v>
      </c>
      <c r="D20" t="s">
        <v>32</v>
      </c>
      <c r="E20">
        <v>1.0900000000000001</v>
      </c>
      <c r="F20">
        <v>1.31</v>
      </c>
      <c r="G20">
        <v>39.96</v>
      </c>
      <c r="H20" t="s">
        <v>33</v>
      </c>
      <c r="I20" t="s">
        <v>26</v>
      </c>
      <c r="J20">
        <v>54314.28</v>
      </c>
    </row>
    <row r="21" spans="1:10" x14ac:dyDescent="0.3">
      <c r="A21" t="s">
        <v>51</v>
      </c>
      <c r="B21" t="s">
        <v>47</v>
      </c>
      <c r="C21">
        <v>58.85</v>
      </c>
      <c r="D21" t="s">
        <v>12</v>
      </c>
      <c r="E21">
        <v>3.61</v>
      </c>
      <c r="F21">
        <v>3.32</v>
      </c>
      <c r="G21">
        <v>18.850000000000001</v>
      </c>
      <c r="H21" t="s">
        <v>33</v>
      </c>
      <c r="I21" t="s">
        <v>14</v>
      </c>
      <c r="J21">
        <v>92481.89</v>
      </c>
    </row>
    <row r="22" spans="1:10" x14ac:dyDescent="0.3">
      <c r="A22" t="s">
        <v>52</v>
      </c>
      <c r="B22" t="s">
        <v>11</v>
      </c>
      <c r="C22">
        <v>377.05</v>
      </c>
      <c r="D22" t="s">
        <v>32</v>
      </c>
      <c r="E22">
        <v>5.95</v>
      </c>
      <c r="F22">
        <v>0.91</v>
      </c>
      <c r="G22">
        <v>29.17</v>
      </c>
      <c r="H22" t="s">
        <v>28</v>
      </c>
      <c r="I22" t="s">
        <v>34</v>
      </c>
      <c r="J22">
        <v>26743.55</v>
      </c>
    </row>
    <row r="23" spans="1:10" x14ac:dyDescent="0.3">
      <c r="A23" t="s">
        <v>53</v>
      </c>
      <c r="B23" t="s">
        <v>43</v>
      </c>
      <c r="C23">
        <v>92.67</v>
      </c>
      <c r="D23" t="s">
        <v>21</v>
      </c>
      <c r="E23">
        <v>6.95</v>
      </c>
      <c r="F23">
        <v>3.64</v>
      </c>
      <c r="G23">
        <v>30.7</v>
      </c>
      <c r="H23" t="s">
        <v>28</v>
      </c>
      <c r="I23" t="s">
        <v>34</v>
      </c>
      <c r="J23">
        <v>42874.34</v>
      </c>
    </row>
    <row r="24" spans="1:10" x14ac:dyDescent="0.3">
      <c r="A24" t="s">
        <v>54</v>
      </c>
      <c r="B24" t="s">
        <v>55</v>
      </c>
      <c r="C24">
        <v>15.67</v>
      </c>
      <c r="D24" t="s">
        <v>32</v>
      </c>
      <c r="E24">
        <v>9.9499999999999993</v>
      </c>
      <c r="F24">
        <v>2.99</v>
      </c>
      <c r="G24">
        <v>18.13</v>
      </c>
      <c r="H24" t="s">
        <v>13</v>
      </c>
      <c r="I24" t="s">
        <v>26</v>
      </c>
      <c r="J24">
        <v>41862.86</v>
      </c>
    </row>
    <row r="25" spans="1:10" x14ac:dyDescent="0.3">
      <c r="A25" t="s">
        <v>56</v>
      </c>
      <c r="B25" t="s">
        <v>36</v>
      </c>
      <c r="C25">
        <v>483.88</v>
      </c>
      <c r="D25" t="s">
        <v>32</v>
      </c>
      <c r="E25">
        <v>6.31</v>
      </c>
      <c r="F25">
        <v>2.29</v>
      </c>
      <c r="G25">
        <v>34.46</v>
      </c>
      <c r="H25" t="s">
        <v>28</v>
      </c>
      <c r="I25" t="s">
        <v>26</v>
      </c>
      <c r="J25">
        <v>61383.07</v>
      </c>
    </row>
    <row r="26" spans="1:10" x14ac:dyDescent="0.3">
      <c r="A26" t="s">
        <v>57</v>
      </c>
      <c r="B26" t="s">
        <v>47</v>
      </c>
      <c r="C26">
        <v>75.64</v>
      </c>
      <c r="D26" t="s">
        <v>21</v>
      </c>
      <c r="E26">
        <v>6.69</v>
      </c>
      <c r="F26">
        <v>3.57</v>
      </c>
      <c r="G26">
        <v>6.14</v>
      </c>
      <c r="H26" t="s">
        <v>22</v>
      </c>
      <c r="I26" t="s">
        <v>26</v>
      </c>
      <c r="J26">
        <v>43847.82</v>
      </c>
    </row>
    <row r="27" spans="1:10" x14ac:dyDescent="0.3">
      <c r="A27" t="s">
        <v>58</v>
      </c>
      <c r="B27" t="s">
        <v>43</v>
      </c>
      <c r="C27">
        <v>162.28</v>
      </c>
      <c r="D27" t="s">
        <v>21</v>
      </c>
      <c r="E27">
        <v>5.85</v>
      </c>
      <c r="F27">
        <v>2.42</v>
      </c>
      <c r="G27">
        <v>24.63</v>
      </c>
      <c r="H27" t="s">
        <v>13</v>
      </c>
      <c r="I27" t="s">
        <v>34</v>
      </c>
      <c r="J27">
        <v>65838.399999999994</v>
      </c>
    </row>
    <row r="28" spans="1:10" x14ac:dyDescent="0.3">
      <c r="A28" t="s">
        <v>59</v>
      </c>
      <c r="B28" t="s">
        <v>11</v>
      </c>
      <c r="C28">
        <v>375.1</v>
      </c>
      <c r="D28" t="s">
        <v>25</v>
      </c>
      <c r="E28">
        <v>0.5</v>
      </c>
      <c r="F28">
        <v>4.76</v>
      </c>
      <c r="G28">
        <v>22.51</v>
      </c>
      <c r="H28" t="s">
        <v>28</v>
      </c>
      <c r="I28" t="s">
        <v>14</v>
      </c>
      <c r="J28">
        <v>39362.44</v>
      </c>
    </row>
    <row r="29" spans="1:10" x14ac:dyDescent="0.3">
      <c r="A29" t="s">
        <v>60</v>
      </c>
      <c r="B29" t="s">
        <v>24</v>
      </c>
      <c r="C29">
        <v>256.19</v>
      </c>
      <c r="D29" t="s">
        <v>21</v>
      </c>
      <c r="E29">
        <v>7.32</v>
      </c>
      <c r="F29">
        <v>2.19</v>
      </c>
      <c r="G29">
        <v>48.02</v>
      </c>
      <c r="H29" t="s">
        <v>22</v>
      </c>
      <c r="I29" t="s">
        <v>34</v>
      </c>
      <c r="J29">
        <v>81313.039999999994</v>
      </c>
    </row>
    <row r="30" spans="1:10" x14ac:dyDescent="0.3">
      <c r="A30" t="s">
        <v>61</v>
      </c>
      <c r="B30" t="s">
        <v>43</v>
      </c>
      <c r="C30">
        <v>288.52</v>
      </c>
      <c r="D30" t="s">
        <v>17</v>
      </c>
      <c r="E30">
        <v>1.79</v>
      </c>
      <c r="F30">
        <v>4.78</v>
      </c>
      <c r="G30">
        <v>36.9</v>
      </c>
      <c r="H30" t="s">
        <v>22</v>
      </c>
      <c r="I30" t="s">
        <v>26</v>
      </c>
      <c r="J30">
        <v>23208.04</v>
      </c>
    </row>
    <row r="31" spans="1:10" x14ac:dyDescent="0.3">
      <c r="A31" t="s">
        <v>62</v>
      </c>
      <c r="B31" t="s">
        <v>55</v>
      </c>
      <c r="C31">
        <v>286.52</v>
      </c>
      <c r="D31" t="s">
        <v>25</v>
      </c>
      <c r="E31">
        <v>8.91</v>
      </c>
      <c r="F31">
        <v>0.77</v>
      </c>
      <c r="G31">
        <v>30.5</v>
      </c>
      <c r="H31" t="s">
        <v>13</v>
      </c>
      <c r="I31" t="s">
        <v>26</v>
      </c>
      <c r="J31">
        <v>93407.38</v>
      </c>
    </row>
    <row r="32" spans="1:10" x14ac:dyDescent="0.3">
      <c r="A32" t="s">
        <v>63</v>
      </c>
      <c r="B32" t="s">
        <v>47</v>
      </c>
      <c r="C32">
        <v>136.16</v>
      </c>
      <c r="D32" t="s">
        <v>21</v>
      </c>
      <c r="E32">
        <v>5.89</v>
      </c>
      <c r="F32">
        <v>1.36</v>
      </c>
      <c r="G32">
        <v>11.86</v>
      </c>
      <c r="H32" t="s">
        <v>28</v>
      </c>
      <c r="I32" t="s">
        <v>26</v>
      </c>
      <c r="J32">
        <v>30098.35</v>
      </c>
    </row>
    <row r="33" spans="1:10" x14ac:dyDescent="0.3">
      <c r="A33" t="s">
        <v>64</v>
      </c>
      <c r="B33" t="s">
        <v>16</v>
      </c>
      <c r="C33">
        <v>350.42</v>
      </c>
      <c r="D33" t="s">
        <v>21</v>
      </c>
      <c r="E33">
        <v>8.4</v>
      </c>
      <c r="F33">
        <v>2.94</v>
      </c>
      <c r="G33">
        <v>24.34</v>
      </c>
      <c r="H33" t="s">
        <v>28</v>
      </c>
      <c r="I33" t="s">
        <v>34</v>
      </c>
      <c r="J33">
        <v>71580.87</v>
      </c>
    </row>
    <row r="34" spans="1:10" x14ac:dyDescent="0.3">
      <c r="A34" t="s">
        <v>65</v>
      </c>
      <c r="B34" t="s">
        <v>47</v>
      </c>
      <c r="C34">
        <v>446.76</v>
      </c>
      <c r="D34" t="s">
        <v>32</v>
      </c>
      <c r="E34">
        <v>7.79</v>
      </c>
      <c r="F34">
        <v>0.96</v>
      </c>
      <c r="G34">
        <v>46.47</v>
      </c>
      <c r="H34" t="s">
        <v>13</v>
      </c>
      <c r="I34" t="s">
        <v>26</v>
      </c>
      <c r="J34">
        <v>93656.06</v>
      </c>
    </row>
    <row r="35" spans="1:10" x14ac:dyDescent="0.3">
      <c r="A35" t="s">
        <v>66</v>
      </c>
      <c r="B35" t="s">
        <v>24</v>
      </c>
      <c r="C35">
        <v>264.12</v>
      </c>
      <c r="D35" t="s">
        <v>32</v>
      </c>
      <c r="E35">
        <v>4.75</v>
      </c>
      <c r="F35">
        <v>4.79</v>
      </c>
      <c r="G35">
        <v>12.92</v>
      </c>
      <c r="H35" t="s">
        <v>13</v>
      </c>
      <c r="I35" t="s">
        <v>34</v>
      </c>
      <c r="J35">
        <v>92745.01</v>
      </c>
    </row>
    <row r="36" spans="1:10" x14ac:dyDescent="0.3">
      <c r="A36" t="s">
        <v>67</v>
      </c>
      <c r="B36" t="s">
        <v>31</v>
      </c>
      <c r="C36">
        <v>266.02999999999997</v>
      </c>
      <c r="D36" t="s">
        <v>32</v>
      </c>
      <c r="E36">
        <v>8.57</v>
      </c>
      <c r="F36">
        <v>1.35</v>
      </c>
      <c r="G36">
        <v>34.450000000000003</v>
      </c>
      <c r="H36" t="s">
        <v>22</v>
      </c>
      <c r="I36" t="s">
        <v>26</v>
      </c>
      <c r="J36">
        <v>43610.21</v>
      </c>
    </row>
    <row r="37" spans="1:10" x14ac:dyDescent="0.3">
      <c r="A37" t="s">
        <v>68</v>
      </c>
      <c r="B37" t="s">
        <v>11</v>
      </c>
      <c r="C37">
        <v>446.16</v>
      </c>
      <c r="D37" t="s">
        <v>17</v>
      </c>
      <c r="E37">
        <v>4.3499999999999996</v>
      </c>
      <c r="F37">
        <v>3.47</v>
      </c>
      <c r="G37">
        <v>12.53</v>
      </c>
      <c r="H37" t="s">
        <v>13</v>
      </c>
      <c r="I37" t="s">
        <v>26</v>
      </c>
      <c r="J37">
        <v>38874.28</v>
      </c>
    </row>
    <row r="38" spans="1:10" x14ac:dyDescent="0.3">
      <c r="A38" t="s">
        <v>69</v>
      </c>
      <c r="B38" t="s">
        <v>31</v>
      </c>
      <c r="C38">
        <v>156.1</v>
      </c>
      <c r="D38" t="s">
        <v>17</v>
      </c>
      <c r="E38">
        <v>1.18</v>
      </c>
      <c r="F38">
        <v>4.43</v>
      </c>
      <c r="G38">
        <v>40.15</v>
      </c>
      <c r="H38" t="s">
        <v>13</v>
      </c>
      <c r="I38" t="s">
        <v>26</v>
      </c>
      <c r="J38">
        <v>73646.55</v>
      </c>
    </row>
    <row r="39" spans="1:10" x14ac:dyDescent="0.3">
      <c r="A39" t="s">
        <v>70</v>
      </c>
      <c r="B39" t="s">
        <v>47</v>
      </c>
      <c r="C39">
        <v>431.22</v>
      </c>
      <c r="D39" t="s">
        <v>32</v>
      </c>
      <c r="E39">
        <v>5.71</v>
      </c>
      <c r="F39">
        <v>3.18</v>
      </c>
      <c r="G39">
        <v>45.95</v>
      </c>
      <c r="H39" t="s">
        <v>22</v>
      </c>
      <c r="I39" t="s">
        <v>14</v>
      </c>
      <c r="J39">
        <v>36065.94</v>
      </c>
    </row>
    <row r="40" spans="1:10" x14ac:dyDescent="0.3">
      <c r="A40" t="s">
        <v>71</v>
      </c>
      <c r="B40" t="s">
        <v>11</v>
      </c>
      <c r="C40">
        <v>220.48</v>
      </c>
      <c r="D40" t="s">
        <v>21</v>
      </c>
      <c r="E40">
        <v>9.9600000000000009</v>
      </c>
      <c r="F40">
        <v>2.91</v>
      </c>
      <c r="G40">
        <v>10.53</v>
      </c>
      <c r="H40" t="s">
        <v>28</v>
      </c>
      <c r="I40" t="s">
        <v>26</v>
      </c>
      <c r="J40">
        <v>82549.03</v>
      </c>
    </row>
    <row r="41" spans="1:10" x14ac:dyDescent="0.3">
      <c r="A41" t="s">
        <v>72</v>
      </c>
      <c r="B41" t="s">
        <v>11</v>
      </c>
      <c r="C41">
        <v>166.82</v>
      </c>
      <c r="D41" t="s">
        <v>25</v>
      </c>
      <c r="E41">
        <v>2.85</v>
      </c>
      <c r="F41">
        <v>1.36</v>
      </c>
      <c r="G41">
        <v>46.19</v>
      </c>
      <c r="H41" t="s">
        <v>33</v>
      </c>
      <c r="I41" t="s">
        <v>26</v>
      </c>
      <c r="J41">
        <v>12007.7</v>
      </c>
    </row>
    <row r="42" spans="1:10" x14ac:dyDescent="0.3">
      <c r="A42" t="s">
        <v>73</v>
      </c>
      <c r="B42" t="s">
        <v>36</v>
      </c>
      <c r="C42">
        <v>370.79</v>
      </c>
      <c r="D42" t="s">
        <v>21</v>
      </c>
      <c r="E42">
        <v>8.18</v>
      </c>
      <c r="F42">
        <v>4.99</v>
      </c>
      <c r="G42">
        <v>35.01</v>
      </c>
      <c r="H42" t="s">
        <v>33</v>
      </c>
      <c r="I42" t="s">
        <v>14</v>
      </c>
      <c r="J42">
        <v>85208.71</v>
      </c>
    </row>
    <row r="43" spans="1:10" x14ac:dyDescent="0.3">
      <c r="A43" t="s">
        <v>74</v>
      </c>
      <c r="B43" t="s">
        <v>20</v>
      </c>
      <c r="C43">
        <v>418.99</v>
      </c>
      <c r="D43" t="s">
        <v>12</v>
      </c>
      <c r="E43">
        <v>0.78</v>
      </c>
      <c r="F43">
        <v>0.57999999999999996</v>
      </c>
      <c r="G43">
        <v>26.29</v>
      </c>
      <c r="H43" t="s">
        <v>28</v>
      </c>
      <c r="I43" t="s">
        <v>26</v>
      </c>
      <c r="J43">
        <v>33705.69</v>
      </c>
    </row>
    <row r="44" spans="1:10" x14ac:dyDescent="0.3">
      <c r="A44" t="s">
        <v>75</v>
      </c>
      <c r="B44" t="s">
        <v>11</v>
      </c>
      <c r="C44">
        <v>78.790000000000006</v>
      </c>
      <c r="D44" t="s">
        <v>21</v>
      </c>
      <c r="E44">
        <v>1.35</v>
      </c>
      <c r="F44">
        <v>3</v>
      </c>
      <c r="G44">
        <v>11.45</v>
      </c>
      <c r="H44" t="s">
        <v>33</v>
      </c>
      <c r="I44" t="s">
        <v>26</v>
      </c>
      <c r="J44">
        <v>94754.73</v>
      </c>
    </row>
    <row r="45" spans="1:10" x14ac:dyDescent="0.3">
      <c r="A45" t="s">
        <v>76</v>
      </c>
      <c r="B45" t="s">
        <v>31</v>
      </c>
      <c r="C45">
        <v>84.12</v>
      </c>
      <c r="D45" t="s">
        <v>17</v>
      </c>
      <c r="E45">
        <v>4.6399999999999997</v>
      </c>
      <c r="F45">
        <v>2.5299999999999998</v>
      </c>
      <c r="G45">
        <v>24.77</v>
      </c>
      <c r="H45" t="s">
        <v>33</v>
      </c>
      <c r="I45" t="s">
        <v>34</v>
      </c>
      <c r="J45">
        <v>40614.400000000001</v>
      </c>
    </row>
    <row r="46" spans="1:10" x14ac:dyDescent="0.3">
      <c r="A46" t="s">
        <v>77</v>
      </c>
      <c r="B46" t="s">
        <v>24</v>
      </c>
      <c r="C46">
        <v>326.69</v>
      </c>
      <c r="D46" t="s">
        <v>12</v>
      </c>
      <c r="E46">
        <v>5.24</v>
      </c>
      <c r="F46">
        <v>0.55000000000000004</v>
      </c>
      <c r="G46">
        <v>18.34</v>
      </c>
      <c r="H46" t="s">
        <v>18</v>
      </c>
      <c r="I46" t="s">
        <v>14</v>
      </c>
      <c r="J46">
        <v>37466.11</v>
      </c>
    </row>
    <row r="47" spans="1:10" x14ac:dyDescent="0.3">
      <c r="A47" t="s">
        <v>78</v>
      </c>
      <c r="B47" t="s">
        <v>16</v>
      </c>
      <c r="C47">
        <v>112.8</v>
      </c>
      <c r="D47" t="s">
        <v>12</v>
      </c>
      <c r="E47">
        <v>1.8</v>
      </c>
      <c r="F47">
        <v>1.01</v>
      </c>
      <c r="G47">
        <v>31.57</v>
      </c>
      <c r="H47" t="s">
        <v>28</v>
      </c>
      <c r="I47" t="s">
        <v>14</v>
      </c>
      <c r="J47">
        <v>79966.100000000006</v>
      </c>
    </row>
    <row r="48" spans="1:10" x14ac:dyDescent="0.3">
      <c r="A48" t="s">
        <v>79</v>
      </c>
      <c r="B48" t="s">
        <v>55</v>
      </c>
      <c r="C48">
        <v>347.66</v>
      </c>
      <c r="D48" t="s">
        <v>32</v>
      </c>
      <c r="E48">
        <v>3.86</v>
      </c>
      <c r="F48">
        <v>2.68</v>
      </c>
      <c r="G48">
        <v>31.47</v>
      </c>
      <c r="H48" t="s">
        <v>33</v>
      </c>
      <c r="I48" t="s">
        <v>14</v>
      </c>
      <c r="J48">
        <v>86989.88</v>
      </c>
    </row>
    <row r="49" spans="1:10" x14ac:dyDescent="0.3">
      <c r="A49" t="s">
        <v>80</v>
      </c>
      <c r="B49" t="s">
        <v>55</v>
      </c>
      <c r="C49">
        <v>77.39</v>
      </c>
      <c r="D49" t="s">
        <v>12</v>
      </c>
      <c r="E49">
        <v>9.34</v>
      </c>
      <c r="F49">
        <v>3</v>
      </c>
      <c r="G49">
        <v>20.53</v>
      </c>
      <c r="H49" t="s">
        <v>22</v>
      </c>
      <c r="I49" t="s">
        <v>26</v>
      </c>
      <c r="J49">
        <v>5874.17</v>
      </c>
    </row>
    <row r="50" spans="1:10" x14ac:dyDescent="0.3">
      <c r="A50" t="s">
        <v>81</v>
      </c>
      <c r="B50" t="s">
        <v>47</v>
      </c>
      <c r="C50">
        <v>462.37</v>
      </c>
      <c r="D50" t="s">
        <v>12</v>
      </c>
      <c r="E50">
        <v>2.2999999999999998</v>
      </c>
      <c r="F50">
        <v>0.14000000000000001</v>
      </c>
      <c r="G50">
        <v>39.51</v>
      </c>
      <c r="H50" t="s">
        <v>28</v>
      </c>
      <c r="I50" t="s">
        <v>14</v>
      </c>
      <c r="J50">
        <v>53879.87</v>
      </c>
    </row>
    <row r="51" spans="1:10" x14ac:dyDescent="0.3">
      <c r="A51" t="s">
        <v>82</v>
      </c>
      <c r="B51" t="s">
        <v>24</v>
      </c>
      <c r="C51">
        <v>292.25</v>
      </c>
      <c r="D51" t="s">
        <v>25</v>
      </c>
      <c r="E51">
        <v>4.08</v>
      </c>
      <c r="F51">
        <v>0.76</v>
      </c>
      <c r="G51">
        <v>45.14</v>
      </c>
      <c r="H51" t="s">
        <v>22</v>
      </c>
      <c r="I51" t="s">
        <v>14</v>
      </c>
      <c r="J51">
        <v>90232.08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433BA-9ACB-4A8F-B4B2-C3CA8E201F86}">
  <dimension ref="B2:E31"/>
  <sheetViews>
    <sheetView topLeftCell="A12" workbookViewId="0">
      <selection activeCell="C28" sqref="C28"/>
    </sheetView>
  </sheetViews>
  <sheetFormatPr defaultRowHeight="14.4" x14ac:dyDescent="0.3"/>
  <cols>
    <col min="2" max="2" width="12.5546875" bestFit="1" customWidth="1"/>
    <col min="3" max="3" width="31.21875" bestFit="1" customWidth="1"/>
    <col min="4" max="4" width="8" bestFit="1" customWidth="1"/>
    <col min="5" max="5" width="23.77734375" bestFit="1" customWidth="1"/>
    <col min="6" max="6" width="31.21875" bestFit="1" customWidth="1"/>
    <col min="7" max="7" width="8" bestFit="1" customWidth="1"/>
    <col min="8" max="16" width="9" bestFit="1" customWidth="1"/>
    <col min="17" max="17" width="8" bestFit="1" customWidth="1"/>
    <col min="18" max="23" width="9" bestFit="1" customWidth="1"/>
    <col min="24" max="24" width="8" bestFit="1" customWidth="1"/>
    <col min="25" max="26" width="9" bestFit="1" customWidth="1"/>
    <col min="27" max="28" width="8" bestFit="1" customWidth="1"/>
    <col min="29" max="34" width="9" bestFit="1" customWidth="1"/>
    <col min="35" max="36" width="8" bestFit="1" customWidth="1"/>
    <col min="37" max="51" width="9" bestFit="1" customWidth="1"/>
    <col min="52" max="52" width="8" bestFit="1" customWidth="1"/>
    <col min="53" max="55" width="9" bestFit="1" customWidth="1"/>
    <col min="56" max="56" width="11" bestFit="1" customWidth="1"/>
  </cols>
  <sheetData>
    <row r="2" spans="2:5" x14ac:dyDescent="0.3">
      <c r="B2" t="s">
        <v>83</v>
      </c>
      <c r="E2" t="s">
        <v>89</v>
      </c>
    </row>
    <row r="3" spans="2:5" x14ac:dyDescent="0.3">
      <c r="E3" t="s">
        <v>90</v>
      </c>
    </row>
    <row r="4" spans="2:5" x14ac:dyDescent="0.3">
      <c r="B4" s="1" t="s">
        <v>86</v>
      </c>
      <c r="C4" t="s">
        <v>85</v>
      </c>
      <c r="E4" s="6">
        <v>1352.96</v>
      </c>
    </row>
    <row r="5" spans="2:5" x14ac:dyDescent="0.3">
      <c r="B5" s="3" t="s">
        <v>18</v>
      </c>
      <c r="C5" s="4">
        <v>200009.56</v>
      </c>
    </row>
    <row r="6" spans="2:5" x14ac:dyDescent="0.3">
      <c r="B6" s="3" t="s">
        <v>22</v>
      </c>
      <c r="C6" s="4">
        <v>454483.47000000003</v>
      </c>
      <c r="E6" t="s">
        <v>91</v>
      </c>
    </row>
    <row r="7" spans="2:5" x14ac:dyDescent="0.3">
      <c r="B7" s="3" t="s">
        <v>33</v>
      </c>
      <c r="C7" s="4">
        <v>694962.93</v>
      </c>
    </row>
    <row r="8" spans="2:5" x14ac:dyDescent="0.3">
      <c r="B8" s="3" t="s">
        <v>13</v>
      </c>
      <c r="C8" s="4">
        <v>730128.2100000002</v>
      </c>
      <c r="E8" t="s">
        <v>85</v>
      </c>
    </row>
    <row r="9" spans="2:5" x14ac:dyDescent="0.3">
      <c r="B9" s="3" t="s">
        <v>28</v>
      </c>
      <c r="C9" s="4">
        <v>756630.60999999987</v>
      </c>
      <c r="E9" s="5">
        <v>2836214.7800000003</v>
      </c>
    </row>
    <row r="10" spans="2:5" x14ac:dyDescent="0.3">
      <c r="B10" s="3" t="s">
        <v>84</v>
      </c>
      <c r="C10" s="4">
        <v>2836214.7800000003</v>
      </c>
    </row>
    <row r="11" spans="2:5" x14ac:dyDescent="0.3">
      <c r="E11" t="s">
        <v>92</v>
      </c>
    </row>
    <row r="12" spans="2:5" x14ac:dyDescent="0.3">
      <c r="B12" s="3" t="s">
        <v>87</v>
      </c>
      <c r="E12" t="s">
        <v>93</v>
      </c>
    </row>
    <row r="13" spans="2:5" x14ac:dyDescent="0.3">
      <c r="E13" s="6">
        <v>12748.190000000002</v>
      </c>
    </row>
    <row r="14" spans="2:5" x14ac:dyDescent="0.3">
      <c r="B14" s="1" t="s">
        <v>86</v>
      </c>
      <c r="C14" t="s">
        <v>85</v>
      </c>
    </row>
    <row r="15" spans="2:5" x14ac:dyDescent="0.3">
      <c r="B15" s="3" t="s">
        <v>24</v>
      </c>
      <c r="C15" s="4">
        <v>440876.16000000003</v>
      </c>
      <c r="E15" t="s">
        <v>94</v>
      </c>
    </row>
    <row r="16" spans="2:5" x14ac:dyDescent="0.3">
      <c r="B16" s="3" t="s">
        <v>47</v>
      </c>
      <c r="C16" s="4">
        <v>375162.41</v>
      </c>
      <c r="E16" t="s">
        <v>95</v>
      </c>
    </row>
    <row r="17" spans="2:5" x14ac:dyDescent="0.3">
      <c r="B17" s="3" t="s">
        <v>11</v>
      </c>
      <c r="C17" s="4">
        <v>370939.93</v>
      </c>
      <c r="E17" s="2">
        <v>119.90000000000002</v>
      </c>
    </row>
    <row r="18" spans="2:5" x14ac:dyDescent="0.3">
      <c r="B18" s="3" t="s">
        <v>16</v>
      </c>
      <c r="C18" s="4">
        <v>308573.96999999997</v>
      </c>
    </row>
    <row r="19" spans="2:5" x14ac:dyDescent="0.3">
      <c r="B19" s="3" t="s">
        <v>31</v>
      </c>
      <c r="C19" s="4">
        <v>289376.88</v>
      </c>
    </row>
    <row r="20" spans="2:5" x14ac:dyDescent="0.3">
      <c r="B20" s="3" t="s">
        <v>20</v>
      </c>
      <c r="C20" s="4">
        <v>278324.51</v>
      </c>
    </row>
    <row r="21" spans="2:5" x14ac:dyDescent="0.3">
      <c r="B21" s="3" t="s">
        <v>36</v>
      </c>
      <c r="C21" s="4">
        <v>233807.05</v>
      </c>
    </row>
    <row r="22" spans="2:5" x14ac:dyDescent="0.3">
      <c r="B22" s="3" t="s">
        <v>55</v>
      </c>
      <c r="C22" s="4">
        <v>228134.29</v>
      </c>
    </row>
    <row r="23" spans="2:5" x14ac:dyDescent="0.3">
      <c r="B23" s="3" t="s">
        <v>43</v>
      </c>
      <c r="C23" s="4">
        <v>177843.13</v>
      </c>
    </row>
    <row r="24" spans="2:5" x14ac:dyDescent="0.3">
      <c r="B24" s="3" t="s">
        <v>38</v>
      </c>
      <c r="C24" s="4">
        <v>133176.45000000001</v>
      </c>
    </row>
    <row r="25" spans="2:5" x14ac:dyDescent="0.3">
      <c r="B25" s="3" t="s">
        <v>84</v>
      </c>
      <c r="C25" s="4">
        <v>2836214.7800000003</v>
      </c>
    </row>
    <row r="27" spans="2:5" x14ac:dyDescent="0.3">
      <c r="B27" s="3" t="s">
        <v>88</v>
      </c>
    </row>
    <row r="28" spans="2:5" x14ac:dyDescent="0.3">
      <c r="B28" s="1" t="s">
        <v>86</v>
      </c>
      <c r="C28" t="s">
        <v>85</v>
      </c>
    </row>
    <row r="29" spans="2:5" x14ac:dyDescent="0.3">
      <c r="B29" s="3" t="s">
        <v>26</v>
      </c>
      <c r="C29" s="4">
        <v>192734.71000000002</v>
      </c>
    </row>
    <row r="30" spans="2:5" x14ac:dyDescent="0.3">
      <c r="B30" s="3" t="s">
        <v>14</v>
      </c>
      <c r="C30" s="4">
        <v>182427.7</v>
      </c>
    </row>
    <row r="31" spans="2:5" x14ac:dyDescent="0.3">
      <c r="B31" s="3" t="s">
        <v>84</v>
      </c>
      <c r="C31" s="4">
        <v>375162.41000000003</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B190-D368-4312-83E8-0326638B01AD}">
  <dimension ref="A1"/>
  <sheetViews>
    <sheetView showGridLines="0" tabSelected="1" workbookViewId="0">
      <selection activeCell="A2" sqref="A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agriculture_dataset</vt:lpstr>
      <vt:lpstr>agriculture_dataset (2)</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Big Criss</dc:creator>
  <cp:lastModifiedBy>Big Criss</cp:lastModifiedBy>
  <dcterms:created xsi:type="dcterms:W3CDTF">2026-04-20T14:44:52Z</dcterms:created>
  <dcterms:modified xsi:type="dcterms:W3CDTF">2026-04-25T14:34:29Z</dcterms:modified>
</cp:coreProperties>
</file>